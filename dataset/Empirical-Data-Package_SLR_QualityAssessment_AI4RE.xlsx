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7.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DieseArbeitsmappe"/>
  <mc:AlternateContent xmlns:mc="http://schemas.openxmlformats.org/markup-compatibility/2006">
    <mc:Choice Requires="x15">
      <x15ac:absPath xmlns:x15ac="http://schemas.microsoft.com/office/spreadsheetml/2010/11/ac" url="E:\Documents\PROFESSIONAL\04_PUBLICATIONS\PROPOSALS\01_JOURNAL\2025 AI4RE - DeepQuali\"/>
    </mc:Choice>
  </mc:AlternateContent>
  <xr:revisionPtr revIDLastSave="0" documentId="13_ncr:1_{7ACDBDC8-302F-490C-8DBA-DCA248020F59}" xr6:coauthVersionLast="47" xr6:coauthVersionMax="47" xr10:uidLastSave="{00000000-0000-0000-0000-000000000000}"/>
  <bookViews>
    <workbookView xWindow="-110" yWindow="-110" windowWidth="38620" windowHeight="21360" xr2:uid="{00000000-000D-0000-FFFF-FFFF00000000}"/>
  </bookViews>
  <sheets>
    <sheet name="README" sheetId="45" r:id="rId1"/>
    <sheet name="--&gt; Screening Log" sheetId="26" r:id="rId2"/>
    <sheet name="Title-Abstract-Review" sheetId="10" r:id="rId3"/>
    <sheet name="Snowballing" sheetId="21" r:id="rId4"/>
    <sheet name="Final Set" sheetId="22" r:id="rId5"/>
    <sheet name="--&gt; Demographic Analysis" sheetId="23" r:id="rId6"/>
    <sheet name="Quality Assessment" sheetId="24" r:id="rId7"/>
    <sheet name="Demographics" sheetId="25" r:id="rId8"/>
    <sheet name="--&gt; Data Extraction" sheetId="27" r:id="rId9"/>
    <sheet name="Raw Data" sheetId="20" r:id="rId10"/>
    <sheet name="--&gt; RQ1" sheetId="40" r:id="rId11"/>
    <sheet name="AI-Method" sheetId="34" r:id="rId12"/>
    <sheet name="Eval-Method" sheetId="35" r:id="rId13"/>
    <sheet name="--&gt; RQ2" sheetId="41" r:id="rId14"/>
    <sheet name="Quality Apects" sheetId="28" r:id="rId15"/>
    <sheet name="Quality Aspects Summary" sheetId="37" r:id="rId16"/>
    <sheet name="References" sheetId="29" r:id="rId17"/>
    <sheet name="Purpose" sheetId="30" r:id="rId18"/>
    <sheet name="Phase" sheetId="44" r:id="rId19"/>
    <sheet name="Metrics" sheetId="33" r:id="rId20"/>
    <sheet name="--&gt; RQ3" sheetId="42" r:id="rId21"/>
    <sheet name="Data" sheetId="31" r:id="rId22"/>
    <sheet name="Data Description" sheetId="32" r:id="rId23"/>
  </sheets>
  <definedNames>
    <definedName name="_xlnm._FilterDatabase" localSheetId="22" hidden="1">'Data Description'!$A$1:$U$76</definedName>
    <definedName name="_xlnm._FilterDatabase" localSheetId="2" hidden="1">'Title-Abstract-Review'!$A$1:$Z$354</definedName>
    <definedName name="ExternalData_2" localSheetId="15" hidden="1">'Quality Aspects Summary'!$A$1:$F$20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31" l="1"/>
  <c r="B27" i="31"/>
  <c r="B28" i="31"/>
  <c r="B29" i="31"/>
  <c r="B30" i="31"/>
  <c r="B31" i="31"/>
  <c r="B32" i="31"/>
  <c r="B33" i="31"/>
  <c r="B34" i="31"/>
  <c r="B36" i="31"/>
  <c r="B25" i="31"/>
  <c r="B6" i="31"/>
  <c r="B3" i="44" l="1"/>
  <c r="B8" i="44"/>
  <c r="B7" i="44"/>
  <c r="B6" i="44"/>
  <c r="B5" i="44"/>
  <c r="B4" i="44"/>
  <c r="B2" i="44"/>
  <c r="B15" i="33" l="1"/>
  <c r="B10" i="33"/>
  <c r="B4" i="33"/>
  <c r="B5" i="33"/>
  <c r="B9" i="33"/>
  <c r="B8" i="33"/>
  <c r="B7" i="33"/>
  <c r="B6" i="33"/>
  <c r="B2" i="33"/>
  <c r="B14" i="33"/>
  <c r="B3" i="33"/>
  <c r="B11" i="33"/>
  <c r="B12" i="33"/>
  <c r="B13" i="33"/>
  <c r="B10" i="31"/>
  <c r="B61" i="31"/>
  <c r="B60" i="31"/>
  <c r="B4" i="31"/>
  <c r="B58" i="31"/>
  <c r="B57" i="31"/>
  <c r="B56" i="31"/>
  <c r="B55" i="31"/>
  <c r="B54" i="31"/>
  <c r="B22" i="31"/>
  <c r="B21" i="31"/>
  <c r="B20" i="31"/>
  <c r="B19" i="31"/>
  <c r="B17" i="31"/>
  <c r="B18" i="31"/>
  <c r="B16" i="31"/>
  <c r="B15" i="31"/>
  <c r="B14" i="31"/>
  <c r="B13" i="31"/>
  <c r="B12" i="31"/>
  <c r="B11" i="31"/>
  <c r="B9" i="31"/>
  <c r="B8" i="31"/>
  <c r="B7" i="31"/>
  <c r="B5" i="31"/>
  <c r="B24" i="31"/>
  <c r="B23" i="31"/>
  <c r="B2" i="31"/>
  <c r="B3" i="31"/>
  <c r="B2" i="30"/>
  <c r="B3" i="30"/>
  <c r="B4" i="30"/>
  <c r="B5" i="30"/>
  <c r="B6" i="30"/>
  <c r="I2" i="24"/>
  <c r="I4" i="24"/>
  <c r="I5" i="24"/>
  <c r="I6" i="24"/>
  <c r="I7" i="24"/>
  <c r="I8" i="24"/>
  <c r="K8" i="24" s="1"/>
  <c r="I9" i="24"/>
  <c r="I10" i="24"/>
  <c r="I11" i="24"/>
  <c r="I12" i="24"/>
  <c r="I13" i="24"/>
  <c r="I14" i="24"/>
  <c r="K14" i="24" s="1"/>
  <c r="I15" i="24"/>
  <c r="I16" i="24"/>
  <c r="I17" i="24"/>
  <c r="I18" i="24"/>
  <c r="I19" i="24"/>
  <c r="I20" i="24"/>
  <c r="I21" i="24"/>
  <c r="I22" i="24"/>
  <c r="I23" i="24"/>
  <c r="K23" i="24" s="1"/>
  <c r="I24" i="24"/>
  <c r="K24" i="24" s="1"/>
  <c r="I25" i="24"/>
  <c r="I26" i="24"/>
  <c r="I27" i="24"/>
  <c r="I3" i="24"/>
  <c r="J2" i="24"/>
  <c r="J4" i="24"/>
  <c r="J5" i="24"/>
  <c r="J6" i="24"/>
  <c r="J7" i="24"/>
  <c r="J8" i="24"/>
  <c r="J9" i="24"/>
  <c r="J10" i="24"/>
  <c r="J11" i="24"/>
  <c r="J12" i="24"/>
  <c r="J13" i="24"/>
  <c r="J14" i="24"/>
  <c r="J15" i="24"/>
  <c r="J16" i="24"/>
  <c r="J17" i="24"/>
  <c r="J18" i="24"/>
  <c r="J19" i="24"/>
  <c r="J20" i="24"/>
  <c r="J21" i="24"/>
  <c r="J22" i="24"/>
  <c r="J23" i="24"/>
  <c r="J24" i="24"/>
  <c r="J25" i="24"/>
  <c r="J26" i="24"/>
  <c r="J27" i="24"/>
  <c r="J3" i="24"/>
  <c r="K20" i="24" l="1"/>
  <c r="K12" i="24"/>
  <c r="K11" i="24"/>
  <c r="K26" i="24"/>
  <c r="K22" i="24"/>
  <c r="K10" i="24"/>
  <c r="K9" i="24"/>
  <c r="K19" i="24"/>
  <c r="K18" i="24"/>
  <c r="K17" i="24"/>
  <c r="K16" i="24"/>
  <c r="K4" i="24"/>
  <c r="K21" i="24"/>
  <c r="K7" i="24"/>
  <c r="K5" i="24"/>
  <c r="K15" i="24"/>
  <c r="K2" i="24"/>
  <c r="K6" i="24"/>
  <c r="K27" i="24"/>
  <c r="K25" i="24"/>
  <c r="K13" i="24"/>
  <c r="K3"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tc={38269D41-3670-494D-972F-BA7B43AAD603}</author>
    <author>tc={8F3ABC83-CEAE-4FD4-B7F8-ED92B743CBB8}</author>
    <author>tc={AEBE49BE-28B3-4AB0-85BE-871869997F16}</author>
    <author>tc={72363EF6-4DB9-434D-B48F-E25C04524F90}</author>
    <author>tc={A85A822C-C611-4490-8D0A-269FB657F10C}</author>
    <author>tc={B2F5E8CF-CA72-484C-A3F7-42492AE53F87}</author>
    <author>tc={CAF128F9-0F23-4890-B848-0E19126F495E}</author>
    <author>tc={92ECB32C-9CC0-4A6E-A946-F4A0650FFC13}</author>
    <author>tc={758CF9DC-CDD9-4DEF-B665-8339AC13D91C}</author>
    <author>tc={8072C9C2-CF39-42AD-B428-C74E7CAB9932}</author>
    <author>tc={49E62CAF-B617-4905-8C05-C719C3BE4C1B}</author>
  </authors>
  <commentList>
    <comment ref="R5" authorId="0" shapeId="0" xr:uid="{38269D41-3670-494D-972F-BA7B43AAD603}">
      <text>
        <t>[Threaded comment]
Your version of Excel allows you to read this threaded comment; however, any edits to it will get removed if the file is opened in a newer version of Excel. Learn more: https://go.microsoft.com/fwlink/?linkid=870924
Comment:
    @Wolf, Elise das Paper ist eher exclude da es Anforderungen bzgl. qualitäts-aspekten die, die adressieren labelt.</t>
      </text>
    </comment>
    <comment ref="T5" authorId="1" shapeId="0" xr:uid="{8F3ABC83-CEAE-4FD4-B7F8-ED92B743CBB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@Wolf, Elise das sind aber Typen von Requirements (z.B. Anforderung an Software Performanz), nicht Qualitätsattributen von Requirements (z.B. wie im INVEST definiert).</t>
      </text>
    </comment>
    <comment ref="X5" authorId="2" shapeId="0" xr:uid="{AEBE49BE-28B3-4AB0-85BE-871869997F1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@Wolf, Elise Das sind wahrscheinlich die Metriken um Modelle ze evaluieren. Aber in der Spalte geht es um Metriken um Qualitätsaspekte aus dem Model zu quantifizieren.
Reply:
    Jedes Modell ist ein CNN bei denen. So besser?</t>
      </text>
    </comment>
    <comment ref="R6" authorId="3" shapeId="0" xr:uid="{72363EF6-4DB9-434D-B48F-E25C04524F9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@Wolf, Elise diese Paper scheint die Anforderungen nach ihren Typ zu klassifizieren, nicht deren Qualität zu bewerten - damit würde es ausfallen.</t>
      </text>
    </comment>
    <comment ref="R18" authorId="4" shapeId="0" xr:uid="{A85A822C-C611-4490-8D0A-269FB657F10C}">
      <text>
        <t>[Threaded comment]
Your version of Excel allows you to read this threaded comment; however, any edits to it will get removed if the file is opened in a newer version of Excel. Learn more: https://go.microsoft.com/fwlink/?linkid=870924
Comment:
    @Wolf, Elise zwar das Paper beschäftigt sich mit Einfluss von Anforderungen auf Projekt Budget und Änderungen and die Autoren berücksichtigen Typ von Requirements (z.B. FR, NFR, SW, HW) aber nicht derer Qualität. Deswegen eher “exclude”</t>
      </text>
    </comment>
    <comment ref="R26" authorId="5" shapeId="0" xr:uid="{B2F5E8CF-CA72-484C-A3F7-42492AE53F8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@Siebert, Julien Das Paper schein nicht wirklich sich mit Qualität der Anforderungen zu beschäftigen. Bitte prüfe ob das tatsächlich “include” ist.
Reply:
    Du hast recht</t>
      </text>
    </comment>
    <comment ref="R27" authorId="6" shapeId="0" xr:uid="{CAF128F9-0F23-4890-B848-0E19126F495E}">
      <text>
        <t>[Threaded comment]
Your version of Excel allows you to read this threaded comment; however, any edits to it will get removed if the file is opened in a newer version of Excel. Learn more: https://go.microsoft.com/fwlink/?linkid=870924
Comment:
    @Siebert, Julien Das Paper beschäftigt sich mit Klassifizierung der User Stories, genauer gesagt Labeling US nach dem welche SW-Qualitätsaspekt die adressieren. Es ist nicht über Qualität der US. --&gt; Exclude</t>
      </text>
    </comment>
    <comment ref="R28" authorId="7" shapeId="0" xr:uid="{92ECB32C-9CC0-4A6E-A946-F4A0650FFC1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@Siebert, Julien Das Paper schein sich mit Klassifikation der nichtfunktionalen Anforderungen zu beschäftigen - nicht mit derer Qualitätsbewertung --&gt; bitte prüfe ob das tatsächlich “include” ist
Reply:
    OK</t>
      </text>
    </comment>
    <comment ref="R32" authorId="8" shapeId="0" xr:uid="{758CF9DC-CDD9-4DEF-B665-8339AC13D91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@Siebert, Julien Das Paper ist eher über Qualität des Interviews zum Erfassen der Anforderungen als über Qualität der Anforderungen selbst. Für mich wäre das “exclude”</t>
      </text>
    </comment>
    <comment ref="R34" authorId="9" shapeId="0" xr:uid="{8072C9C2-CF39-42AD-B428-C74E7CAB993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@Siebert, Julien Das Paper scheint “exclude” zu sein: “we investigate suitable NLP methods to automate the process of creating requirement models from the requirements and design specification.”</t>
      </text>
    </comment>
    <comment ref="X37" authorId="10" shapeId="0" xr:uid="{49E62CAF-B617-4905-8C05-C719C3BE4C1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@Siebert, Julien hier wäre eher wie Ambiguity genmessen wurde. F1 usw. beziehen sie wahrscheinlich an die Evaluation des Ansatzes.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3C250F-71EA-3444-99F5-413D7045B0F7}" keepAlive="1" name="Abfrage - qualitätsaspekte_verdichtet (2)" description="Verbindung mit der Abfrage 'qualitätsaspekte_verdichtet (2)' in der Arbeitsmappe." type="5" refreshedVersion="8" background="1" saveData="1">
    <dbPr connection="Provider=Microsoft.Mashup.OleDb.1;Data Source=$Workbook$;Location=&quot;qualitätsaspekte_verdichtet (2)&quot;;Extended Properties=&quot;&quot;" command="SELECT * FROM [qualitätsaspekte_verdichtet (2)]"/>
  </connection>
  <connection id="2" xr16:uid="{00000000-0015-0000-FFFF-FFFF00000000}" keepAlive="1" name="Query - scopus_relevantdata" description="Connection to the 'scopus_relevantdata' query in the workbook." type="5" refreshedVersion="8" background="1" saveData="1">
    <dbPr connection="Provider=Microsoft.Mashup.OleDb.1;Data Source=$Workbook$;Location=scopus_relevantdata;Extended Properties=&quot;&quot;" command="SELECT * FROM [scopus_relevantdata]"/>
  </connection>
  <connection id="3" xr16:uid="{DBDB949B-71E6-42A4-9E00-4BFBD4A9AE60}" keepAlive="1" name="Query - scopus_relevantdata (2)" description="Connection to the 'scopus_relevantdata (2)' query in the workbook." type="5" refreshedVersion="8" background="1" saveData="1">
    <dbPr connection="Provider=Microsoft.Mashup.OleDb.1;Data Source=$Workbook$;Location=&quot;scopus_relevantdata (2)&quot;;Extended Properties=&quot;&quot;" command="SELECT * FROM [scopus_relevantdata (2)]"/>
  </connection>
  <connection id="4" xr16:uid="{F7CB55A3-E057-4FFA-93A8-A2D8F2F4D884}" keepAlive="1" name="Query - scopus_relevantdata (3)" description="Connection to the 'scopus_relevantdata (3)' query in the workbook." type="5" refreshedVersion="8" background="1" saveData="1">
    <dbPr connection="Provider=Microsoft.Mashup.OleDb.1;Data Source=$Workbook$;Location=&quot;scopus_relevantdata (3)&quot;;Extended Properties=&quot;&quot;" command="SELECT * FROM [scopus_relevantdata (3)]"/>
  </connection>
  <connection id="5" xr16:uid="{7757079E-74DF-4373-8A77-B20F53F8B171}" keepAlive="1" name="Query - scopus_relevantdata3" description="Connection to the 'scopus_relevantdata3' query in the workbook." type="5" refreshedVersion="0" background="1" saveData="1">
    <dbPr connection="Provider=Microsoft.Mashup.OleDb.1;Data Source=$Workbook$;Location=scopus_relevantdata3;Extended Properties=&quot;&quot;" command="SELECT * FROM [scopus_relevantdata3]"/>
  </connection>
</connections>
</file>

<file path=xl/sharedStrings.xml><?xml version="1.0" encoding="utf-8"?>
<sst xmlns="http://schemas.openxmlformats.org/spreadsheetml/2006/main" count="9376" uniqueCount="3519">
  <si>
    <t>ID</t>
  </si>
  <si>
    <t>Authors</t>
  </si>
  <si>
    <t>Author full names</t>
  </si>
  <si>
    <t>Author(s) ID</t>
  </si>
  <si>
    <t>Title</t>
  </si>
  <si>
    <t>Abstract</t>
  </si>
  <si>
    <t>Year</t>
  </si>
  <si>
    <t>Source title</t>
  </si>
  <si>
    <t>Volume</t>
  </si>
  <si>
    <t>Issue</t>
  </si>
  <si>
    <t>Art. No.</t>
  </si>
  <si>
    <t>Page start</t>
  </si>
  <si>
    <t>Page end</t>
  </si>
  <si>
    <t>Page count</t>
  </si>
  <si>
    <t>DOI</t>
  </si>
  <si>
    <t>Link</t>
  </si>
  <si>
    <t>Document Type</t>
  </si>
  <si>
    <t>Source</t>
  </si>
  <si>
    <t>Review duplicate</t>
  </si>
  <si>
    <t>Review EC1</t>
  </si>
  <si>
    <t>Review EC2</t>
  </si>
  <si>
    <t>Review EC3</t>
  </si>
  <si>
    <t>Review EC4</t>
  </si>
  <si>
    <t>Review EC5</t>
  </si>
  <si>
    <t>Review EC6: Title</t>
  </si>
  <si>
    <t>Review EC6: Abstract</t>
  </si>
  <si>
    <t>Reviewer EC6: full text</t>
  </si>
  <si>
    <t>Review EC6: full text</t>
  </si>
  <si>
    <t>Snowballing</t>
  </si>
  <si>
    <t/>
  </si>
  <si>
    <t>14th International Conference on Evaluation of Novel Approaches to Software Engineering, ENASE 2019</t>
  </si>
  <si>
    <t>Communications in Computer and Information Science</t>
  </si>
  <si>
    <t>1172 CCIS</t>
  </si>
  <si>
    <t>https://www.scopus.com/inward/record.uri?eid=2-s2.0-85080946349&amp;partnerID=40&amp;md5=da8e80c2115c956ace24e348729b925f</t>
  </si>
  <si>
    <t>Conference review</t>
  </si>
  <si>
    <t>Scopus</t>
  </si>
  <si>
    <t>include</t>
  </si>
  <si>
    <t>exclude</t>
  </si>
  <si>
    <t>2022 17th International Conference on Emerging Technologies, ICET 2022</t>
  </si>
  <si>
    <t>https://www.scopus.com/inward/record.uri?eid=2-s2.0-85146875445&amp;partnerID=40&amp;md5=b6d7beb2f3c750f469cfc7c91628a1bf</t>
  </si>
  <si>
    <t>23rd International Working Conference on Requirements Engineering - Foundation for Software Quality, REFSQ 2017</t>
  </si>
  <si>
    <t>Lecture Notes in Computer Science (including subseries Lecture Notes in Artificial Intelligence and Lecture Notes in Bioinformatics)</t>
  </si>
  <si>
    <t>10153 LNCS</t>
  </si>
  <si>
    <t>https://www.scopus.com/inward/record.uri?eid=2-s2.0-85013970190&amp;partnerID=40&amp;md5=d71c7a32b02b29a459f3d9922cfec6cf</t>
  </si>
  <si>
    <t>24th International Working Conference on Requirements Engineering Foundation for Software Quality, REFSQ 2018</t>
  </si>
  <si>
    <t>10753 LNCS</t>
  </si>
  <si>
    <t>https://www.scopus.com/inward/record.uri?eid=2-s2.0-85043355279&amp;partnerID=40&amp;md5=9663b6614569aa0b27c9caafe967b13e</t>
  </si>
  <si>
    <t>28th International Working Conference on Requirements Engineering: Foundation for Software Quality, REFSQ 2022</t>
  </si>
  <si>
    <t>13216 LNCS</t>
  </si>
  <si>
    <t>https://www.scopus.com/inward/record.uri?eid=2-s2.0-85127026212&amp;partnerID=40&amp;md5=8adb2d92230dc66159b18e58330447c4</t>
  </si>
  <si>
    <t>2nd International Workshop on Artificial Intelligence for Requirements Engineering, AIRE 2015 - Proceedings</t>
  </si>
  <si>
    <t>https://www.scopus.com/inward/record.uri?eid=2-s2.0-84960875151&amp;partnerID=40&amp;md5=9ac1a609c9961bd510a523537a8159ff</t>
  </si>
  <si>
    <t>30th International Working Conference on Requirements Engineering: Foundation for Software Quality, REFSQ 2024</t>
  </si>
  <si>
    <t>14588 LNCS</t>
  </si>
  <si>
    <t>https://www.scopus.com/inward/record.uri?eid=2-s2.0-85190711457&amp;partnerID=40&amp;md5=8a1ac6e4ce36f9ac3846b7874da487cc</t>
  </si>
  <si>
    <t>31st International Conference on Advanced Information Systems Engineering, CAiSE 2019</t>
  </si>
  <si>
    <t>11483 LNCS</t>
  </si>
  <si>
    <t>https://www.scopus.com/inward/record.uri?eid=2-s2.0-85067335280&amp;partnerID=40&amp;md5=377def9615c2a83edcc09c55ad30e316</t>
  </si>
  <si>
    <t>32nd International Conference on Industrial, Engineering and Other Applications of Applied Intelligent Systems, IEA/AIE 2019</t>
  </si>
  <si>
    <t>11606 LNAI</t>
  </si>
  <si>
    <t>https://www.scopus.com/inward/record.uri?eid=2-s2.0-85068593562&amp;partnerID=40&amp;md5=1d8b853a9dcc336e0c3b5d327d0543c7</t>
  </si>
  <si>
    <t>33rd International Conference on Conceptual Modeling, ER 2014</t>
  </si>
  <si>
    <t>8823</t>
  </si>
  <si>
    <t>https://www.scopus.com/inward/record.uri?eid=2-s2.0-84920528563&amp;partnerID=40&amp;md5=8dd84b46bbeef0ca95e7e5c748ed46a2</t>
  </si>
  <si>
    <t>3rd Iberoamerican Knowledge Graph and Semantic Web Conference and the 2nd Indo-American Knowledge Graphs and Semantic Web Conference, KGSWC 2021</t>
  </si>
  <si>
    <t>1459 CCIS</t>
  </si>
  <si>
    <t>https://www.scopus.com/inward/record.uri?eid=2-s2.0-85121645085&amp;partnerID=40&amp;md5=e54fdc1be5c2c2e1b703e224154b062e</t>
  </si>
  <si>
    <t>CEUR Workshop Proceedings</t>
  </si>
  <si>
    <t>2075</t>
  </si>
  <si>
    <t>https://www.scopus.com/inward/record.uri?eid=2-s2.0-85045432027&amp;partnerID=40&amp;md5=065c142a3a91f8b57173f8ad49bb552e</t>
  </si>
  <si>
    <t>Erratum regarding missing Declaration of Competing Interest statements in previously published articles (Journal of King Saud University - Computer and Information Sciences (2020) 32(7) (794–808), (S1319157818302039), (10.1016/j.jksuci.2018.09.017))</t>
  </si>
  <si>
    <t>Owing to a Publisher error Declaration/Conflict of Interest statements were not included in the published versions of the following articles, that appeared in previous issues of Journal of King Saud University – Computer and Information Sciences. The appropriate Declaration/Conflict of Interest statements, provided by the Authors, are included below. “The authors declare that they have no known competing financial interests or personal relationships that could have appeared to influence the work reported in this paper.” 1. Android data storage security: A review (Journal of King Saud University - Computer and Information Sciences;2018;Vol. 32/5) DOI: 10.1016/j.jksuci.2018.07.0042. Green cover change detection using a modified adaptive ensemble of extreme learning machines for North-Western India (Journal of King Saud University - Computer and Information Sciences;2018) DOI: 10.1016/j.jksuci.2018.09.0083. ESO-LEACH: PSO based energy efficient clustering in LEACH (Journal of King Saud University - Computer and Information Sciences;2018) DOI: 10.1016/j.jksuci.2018.08.0024. Cluster head selection based on Minimum Connected Dominating Set and Bi-Partite inspired methodology for energy conservation in WSNs (Journal of King Saud University - Computer and Information Sciences;2018) DOI: 10.1016/j.jksuci.2018.08.0095. A fuzzy image clustering method based on an improved backtracking search optimization algorithm with an inertia weight parameter (Journal of King Saud University - Computer and Information Sciences;2018) DOI: Vol31/310.1016/j.jksuci.2018.02.0116. Geographic Multipath Routing based on Triangle Link Quality Metric with Minimum Inter-path Interference for Wireless Multimedia Sensor Networks (Journal of King Saud University - Computer and Information Sciences;2018) DOI: 10.1016/j.jksuci.2018.02.0017. Support vector neural network based fuzzy hybrid filter for impulse noise identification and removal from gray-scale image (Journal of King Saud University - Computer and Information Sciences;2018) DOI: 10.1016/j.jksuci.2018.05.0118. CDBR: A semi-automated collaborative execute-before-after dependency-based requirement prioritization approach (Journal of King Saud University - Computer and Information Sciences;2018) DOI: 10.1016/j.jksuci.2018.10.0049. A Genetic Algorithm based approach for designing multi-state computational grid with cost and bandwidth constraints (Journal of King Saud University - Computer and Information Sciences;2018) DOI: 10.1016/j.jksuci.2018.10.00610. Computer aided diagnosis for thyroid cancer system based on internal and external characteristics (Journal of King Saud University - Computer and Information Sciences;2019) DOI: 10.1016/j.jksuci.2019.01.00711. Artificial bee colony algorithm: A component-wise analysis using diversity measurement (Journal of King Saud University - Computer and Information Sciences;2018;Vol32/7) DOI: 10.1016/j.jksuci.2018.09.01712. Morphological evaluation and sentiment analysis of Punjabi text using deep learning classification (Journal of King Saud University - Computer and Information Sciences;2018) DOI: 10.1016/j.jksuci.2018.04.00313. STORE: Security Threat Oriented Requirements Engineering Methodology (Journal of King Saud University - Computer and Information Sciences;2018) DOI: 10.1016/j.jksuci.2018.12.00514. Ensemble human movement sequence prediction model with Apriori based Probability Tree Classifier (APTC) and Bagged J48 on Machine learning (Journal of King Saud University - Computer and Information Sciences;2018) DOI: 10.1016/j.jksuci.2018.04.002 © 2020</t>
  </si>
  <si>
    <t>Journal of King Saud University - Computer and Information Sciences</t>
  </si>
  <si>
    <t>32</t>
  </si>
  <si>
    <t>10</t>
  </si>
  <si>
    <t>10.1016/j.jksuci.2020.10.028</t>
  </si>
  <si>
    <t>https://www.scopus.com/inward/record.uri?eid=2-s2.0-85096375342&amp;doi=10.1016%2fj.jksuci.2020.10.028&amp;partnerID=40&amp;md5=58c276c01bcbabd236fecc776613d8a1</t>
  </si>
  <si>
    <t>Erratum</t>
  </si>
  <si>
    <t>Proceedings - 14th IEEE International Requirements Engineering Conference, RE'06</t>
  </si>
  <si>
    <t>Proceedings of the IEEE International Conference on Requirements Engineering</t>
  </si>
  <si>
    <t>https://www.scopus.com/inward/record.uri?eid=2-s2.0-41049100136&amp;partnerID=40&amp;md5=f31f2cddce8f018ff754ef17366defcb</t>
  </si>
  <si>
    <t>Proceedings - 2017 IEEE/ACM 39th International Conference on Software Engineering, ICSE 2017</t>
  </si>
  <si>
    <t>https://www.scopus.com/inward/record.uri?eid=2-s2.0-85027681076&amp;partnerID=40&amp;md5=7f5e08324b9b6e64fb204e40730dcdff</t>
  </si>
  <si>
    <t>Proceedings - 2023 5th International Conference on Computer Science and Technologies in Education, CSTE 2023</t>
  </si>
  <si>
    <t>https://www.scopus.com/inward/record.uri?eid=2-s2.0-85174633541&amp;partnerID=40&amp;md5=a3d70852b3860362057dcdc246261422</t>
  </si>
  <si>
    <t>Proceedings - 24th Pan-Hellenic Conference on Informatics, PCI 2020</t>
  </si>
  <si>
    <t>ACM International Conference Proceeding Series</t>
  </si>
  <si>
    <t>https://www.scopus.com/inward/record.uri?eid=2-s2.0-85123040826&amp;partnerID=40&amp;md5=abe8b780544ab24443e477c941c4b05e</t>
  </si>
  <si>
    <t>Proceedings of the 2nd IEEE International Conference on Advances in Computing, Communication and Applied Informatics, ACCAI 2023</t>
  </si>
  <si>
    <t>https://www.scopus.com/inward/record.uri?eid=2-s2.0-85170078635&amp;partnerID=40&amp;md5=1e981b930a3a24ccb45f8ecfec478298</t>
  </si>
  <si>
    <t>REFSQ-JP 2020 - Joint Proceedings of REFSQ-2020 Workshops, Doctoral Symposium, Live Studies Track, and Poster Track, co-located with the 26th International Conference on Requirements Engineering: Foundation for Software Quality, REFSQ 2020</t>
  </si>
  <si>
    <t>2584</t>
  </si>
  <si>
    <t>https://www.scopus.com/inward/record.uri?eid=2-s2.0-85082647693&amp;partnerID=40&amp;md5=51808da26686ce921714590b14090766</t>
  </si>
  <si>
    <t>REFSQ-JP 2021 - Joint Proceedings of REFSQ 2021 Workshops, OpenRE, Poster and ToolsTrack, and Doctoral Symposium, co-located with the 27th International Conference on Requirements Engineering: Foundation for Software Quality, REFSQ 2021</t>
  </si>
  <si>
    <t>2857</t>
  </si>
  <si>
    <t>https://www.scopus.com/inward/record.uri?eid=2-s2.0-85105569688&amp;partnerID=40&amp;md5=a98039a122ec567a71bf78abb16733ca</t>
  </si>
  <si>
    <t>REFSQ-JP 2022 - Joint Proceedings of REFSQ-2022 Workshops, Doctoral Symposium, and Posters and Tools Track, co-located with the 28th International Conference on Requirements Engineering: Foundation for Software Quality, REFSQ 2022</t>
  </si>
  <si>
    <t>3122</t>
  </si>
  <si>
    <t>https://www.scopus.com/inward/record.uri?eid=2-s2.0-85128755625&amp;partnerID=40&amp;md5=8d471648fcfa4b6d8ec6786a64171d4d</t>
  </si>
  <si>
    <t>REFSQ-JP 2023 - Joint Proceedings of REFSQ-2023 Workshops, Doctoral Symposium, Posters and Tools Track and Journal Early Feedback, co-located with the 28th International Conference on Requirements Engineering: Foundation for Software Quality, REFSQ 2023</t>
  </si>
  <si>
    <t>3378</t>
  </si>
  <si>
    <t>https://www.scopus.com/inward/record.uri?eid=2-s2.0-85158971273&amp;partnerID=40&amp;md5=22848355d65a4dc4fdcd2c8a67d1e972</t>
  </si>
  <si>
    <t>REFSQ-JP 2024 - Joint Proceedings of REFSQ-2024 Workshops, Doctoral Symposium, Posters and Tools Track, and Education and Training Track, co-located with the 30th International Conference on Requirements Engineering: Foundation for Software Quality, REFSQ 2024</t>
  </si>
  <si>
    <t>3672</t>
  </si>
  <si>
    <t>https://www.scopus.com/inward/record.uri?eid=2-s2.0-85193051632&amp;partnerID=40&amp;md5=c52e2f75b8b4ef4eb034ead0d57b0c77</t>
  </si>
  <si>
    <t>Requirements Engineering: Foundation for Software Quality: 13th International Working Conference, REFSQ 2007, Proceedings</t>
  </si>
  <si>
    <t>4542 LNCS</t>
  </si>
  <si>
    <t>https://www.scopus.com/inward/record.uri?eid=2-s2.0-38149063826&amp;partnerID=40&amp;md5=fd47bbf4f129a3dd303bd534bfcae5d5</t>
  </si>
  <si>
    <t>Workshop on Conceptual Modeling, Ontologies and Metadata Management for FAIR Data, FAIR 2019, 6th Workshop on Conceptual Modeling in Requirements Engineering and Business Analysis, MREBA 2019, 2nd International Workshop on Empirical Methods in Conceptual Modeling, EmpER 2019, 8th International Workshop on Modeling and Management of Big Data, MoBiD19 2019 and 7th International Workshop on Ontologies andConceptual Modelling, OntoCom 2019 held at the 38th International Conference on Conceptual Modeling, ER 2019</t>
  </si>
  <si>
    <t>11787 LNCS</t>
  </si>
  <si>
    <t>https://www.scopus.com/inward/record.uri?eid=2-s2.0-85077676881&amp;partnerID=40&amp;md5=f7e13236e393d56a5abd5565243ffb0f</t>
  </si>
  <si>
    <t>workshops presented at 23rd International Conferences on Agile Software Development, XP 2022 and 24th International Conferences on Agile Software Development, XP 2023</t>
  </si>
  <si>
    <t>Lecture Notes in Business Information Processing</t>
  </si>
  <si>
    <t>489 LNBIP</t>
  </si>
  <si>
    <t>https://www.scopus.com/inward/record.uri?eid=2-s2.0-85182005065&amp;partnerID=40&amp;md5=d01a03e73129169357f5c2e826e1cdea</t>
  </si>
  <si>
    <t>Abbas M.</t>
  </si>
  <si>
    <t>Abbas, Muhammad (58588220400)</t>
  </si>
  <si>
    <t>58588220400</t>
  </si>
  <si>
    <t>Variability Aware Requirements Reuse Analysis</t>
  </si>
  <si>
    <t>Problem: The goal of a software product line is to aid quick and quality delivery of software products, sharing common features. Effectively achieving the above-mentioned goals requires reuse analysis of the product line features. Existing requirements reuse analysis approaches are not focused on recommending product line features, that can be reused to realize new customer requirements. Hypothesis: Given that the customer requirements are linked to product line features' description satisfying them: Then the customer requirements can be clustered based on patterns and similarities, preserving the historic reuse information. New customer requirements can be evaluated against existing customer requirements and reuse of product line features can be recommended. Contributions: We treated the problem of feature reuse analysis as a text classification problem at the requirements-level. We use Natural Language Processing and clustering to recommend reuse of features based on similarities and historic reuse information. The recommendations can be used to realize new customer requirements.  © 2020 ACM.</t>
  </si>
  <si>
    <t>Proceedings - 2020 ACM/IEEE 42nd International Conference on Software Engineering: Companion, ICSE-Companion 2020</t>
  </si>
  <si>
    <t>9270333</t>
  </si>
  <si>
    <t>10.1145/3377812.3381399</t>
  </si>
  <si>
    <t>https://www.scopus.com/inward/record.uri?eid=2-s2.0-85098580778&amp;doi=10.1145%2f3377812.3381399&amp;partnerID=40&amp;md5=a967c2009b413aeb69c69f277e065630</t>
  </si>
  <si>
    <t>Conference paper</t>
  </si>
  <si>
    <t>Elise</t>
  </si>
  <si>
    <t>Julien</t>
  </si>
  <si>
    <t>no quality aspects mentioned</t>
  </si>
  <si>
    <t>Abeba G.; Alemneh E.</t>
  </si>
  <si>
    <t>Abeba, Getasew (57406866900); Alemneh, Esubalew (57201989800)</t>
  </si>
  <si>
    <t>57406866900; 57201989800</t>
  </si>
  <si>
    <t>Identification of Nonfunctional Requirement Conflicts: Machine Learning Approach</t>
  </si>
  <si>
    <t>The most common causes of software failure in system development are requirements issues. One of these issues is requirement conflicts, which results in expensive costs and a long development time. This is because contradicting requirements make it difficult to design, test, and maintain a software system, which almost always results in software failure. Using manual and semi-automated methods, many researchers attempted to overcome the challenge of detecting conflicting requirements. We’ve suggested a machine learning-based model for detecting conflicts between non-functional requirements in a Software Requirement Specification (SRS) document. To build the model for identifying non-functional requirement conflicts; text preprocessing, vectorization, and classification are included. The text from the document is preprocessed into a series of words using natural language processing (NLP). Then, using vectorization techniques to give words weight, a series of words are stored in numeric representation and utilized as input for classification algorithms. The prepared dataset is used to test traditional machine learning and deep learning classification techniques. Bi-LSTM with pre-trained SO word2vec embedding performs 84.74% accurately, according to a comparative experimental investigation. Future research directions in the problem domain include identifying the relationship between quality attributes and resolving nonfunctional requirements conflict through experiments. © 2022, ICST Institute for Computer Sciences, Social Informatics and Telecommunications Engineering.</t>
  </si>
  <si>
    <t>Lecture Notes of the Institute for Computer Sciences, Social-Informatics and Telecommunications Engineering, LNICST</t>
  </si>
  <si>
    <t>411 LNICST</t>
  </si>
  <si>
    <t>10.1007/978-3-030-93709-6_29</t>
  </si>
  <si>
    <t>https://www.scopus.com/inward/record.uri?eid=2-s2.0-85122571486&amp;doi=10.1007%2f978-3-030-93709-6_29&amp;partnerID=40&amp;md5=fb7b99fdb474bd00b4812cdc6f8efa15</t>
  </si>
  <si>
    <t>Aceituna D.; Do H.; Lee S.-W.</t>
  </si>
  <si>
    <t>Aceituna, Daniel (36986681100); Do, Hyunsook (7005334394); Lee, Seok-Won (7601393462)</t>
  </si>
  <si>
    <t>36986681100; 7005334394; 7601393462</t>
  </si>
  <si>
    <t>Interactive requirements validation for reactive systems through virtual requirements prototype</t>
  </si>
  <si>
    <t>Adequate requirements validation can prevent errors from propagating into later development phases, and eventually improve the quality of software systems. However, validating natural language requirements is often difficult and error-prone. An effective means of requirements validation for embedded software systems has been to build a working model of the requirements in the form of a physical prototype that stakeholders can interact with. However, physical prototyping can be costly, and time consuming, extending the time it takes to obtain and implement stakeholder feedback. We have developed a requirements validation technique, called Virtual Requirements Prototype (VRP), that reduces cost and stakeholder feedback time by allowing stakeholders to validate embedded software requirements through the interaction with a virtual prototype. © 2011 IEEE.</t>
  </si>
  <si>
    <t>2011 Model-Driven Requirements Engineering Workshop, MoDRE 2011</t>
  </si>
  <si>
    <t>6045361</t>
  </si>
  <si>
    <t>10.1109/MoDRE.2011.6045361</t>
  </si>
  <si>
    <t>https://www.scopus.com/inward/record.uri?eid=2-s2.0-80455145241&amp;doi=10.1109%2fMoDRE.2011.6045361&amp;partnerID=40&amp;md5=4411cb63a159a27767bce00738c538e1</t>
  </si>
  <si>
    <t>Ahmed M.; Khan S.U.R.; Alam K.A.</t>
  </si>
  <si>
    <t>Ahmed, Mohsin (57213794968); Khan, Saif Ur Rehman (55746684000); Alam, Khubaib Amjad (56504833200)</t>
  </si>
  <si>
    <t>57213794968; 55746684000; 56504833200</t>
  </si>
  <si>
    <t>An NLP-based quality attributes extraction and prioritization framework in Agile-driven software development</t>
  </si>
  <si>
    <t>Software quality plays a significant role in ensuring the customer demands and expectations. Generally speaking, Quality of the software is a functional behaviour that heavily depends on the non-functional requirements. However, generally software engineer’s pay relatively lesser attention to the non-functional requirements. Moreover, it is of vital importance to have a clear view of software’s quality as early as possible, because it can affect the different artefacts of the software at later development stages including implementation, testing, and maintenance. The early-stage conformance of software quality is more important in agile-based software development where the requirements are more volatile than any other development environments. The early knowledge about the software quality can positively impact on the design decisions in agile-based software development context. Motivated by this, we propose a conceptual framework for automatic extraction and prioritization of quality attributes from the user stories in an agile-based development context. The proposed framework contains two main components including QAExtractor and QAPrioritiser. The core of this framework (QAExtractor) is based on natural language processing, which generalise the user stories for a specific quality attribute. In contrast, QAPrioritiser ranks the extracted quality attributes grounded on the frequency, roles impact, and criticality factor value. We validate the effectiveness of the proposed framework using two case studies. The results revealed that the proposed framework outperforms the existing technique in terms of precision, recall, and F measure. © 2022, The Author(s), under exclusive licence to Springer Science+Business Media, LLC, part of Springer Nature.</t>
  </si>
  <si>
    <t>Automated Software Engineering</t>
  </si>
  <si>
    <t>30</t>
  </si>
  <si>
    <t>1</t>
  </si>
  <si>
    <t>7</t>
  </si>
  <si>
    <t>10.1007/s10515-022-00371-9</t>
  </si>
  <si>
    <t>https://www.scopus.com/inward/record.uri?eid=2-s2.0-85146717968&amp;doi=10.1007%2fs10515-022-00371-9&amp;partnerID=40&amp;md5=a75490f4b8d1e49521ce753d292ebaad</t>
  </si>
  <si>
    <t>Article</t>
  </si>
  <si>
    <t>Airlangga G.; Liu A.</t>
  </si>
  <si>
    <t>Airlangga, Gregorius (57208758481); Liu, Alan (8670601900)</t>
  </si>
  <si>
    <t>57208758481; 8670601900</t>
  </si>
  <si>
    <t>Investigating Software Domain Impact in Requirements Quality Attributes Prediction</t>
  </si>
  <si>
    <t>Several researchers have attempted to confront the problems in quality attributes prediction using AI approaches consisting of knowledge-driven and data-driven techniques. However, due to the lack of a shared training dataset and standardized definition of quality attributes, inaccurate feature extraction may lead to the inconsistency and poor performance of a prediction model. Different from prior works, we have investigated the impact of software domain in quality attributes prediction using deep learning methods with different datasets. From the results, we conclude with two recommendations: (i) the existing secondary dataset such as PROMISE and Concordia are not enough to be used as a ground truth; (ii) a deep learning approach should be supported from the aspects of broader domains in order to capture a variety of natural language requirements. The contribution of this paper is to raise the awareness of identifying the quality attributes in requirements writing and help requirements providers understand what issues to focus. A prototype of requirements annotator is introduced to show how the requirements are processed. © 2022 Institute of Information Science. All rights reserved.</t>
  </si>
  <si>
    <t>Journal of Information Science and Engineering</t>
  </si>
  <si>
    <t>38</t>
  </si>
  <si>
    <t>2</t>
  </si>
  <si>
    <t>10.6688/JISE.202203_38(2).0002</t>
  </si>
  <si>
    <t>https://www.scopus.com/inward/record.uri?eid=2-s2.0-85137710197&amp;doi=10.6688%2fJISE.202203_38%282%29.0002&amp;partnerID=40&amp;md5=26709318dfef262ea4fae21a6623fdec</t>
  </si>
  <si>
    <t>Alhaizaey A.; Al-Mashari M.</t>
  </si>
  <si>
    <t>Alhaizaey, Abdulrahim (58562710200); Al-Mashari, Majed (6603403032)</t>
  </si>
  <si>
    <t>58562710200; 6603403032</t>
  </si>
  <si>
    <t>A Framework for Reviewing and Improving Non-Functional Requirements in Agile-based Requirements</t>
  </si>
  <si>
    <t>The ill-definition or neglect of non-functional requirements has been frequently reported as a problem in agile requirements engineering. Despite the importance of such requirements for the success of software projects, little research is available for reviewing them in the agile requirements. The few existing proposals are either too heavy-wight, lack agility assessment, or lack clarity on how to be embedded in an agile environment. These factors might reduce their adoption among agile practitioners. To address this problem, we propose a framework for reviewing non-functional requirements in the agile requirements formulated as user stories. Our proposed framework utilizes a combination of natural language processing and artificial intelligence techniques to automate analyzing and predicting non-functional requirements in user stories. Then, the artifacts needed for the requirements reading and reviewing technique are generated to assist requirements inspectors in reviewing non-functional requirements, identifying possible defects, and consequentially making a reasonably informed review decision. Our proposal aims to mitigate the most reported causes of the problem in the literature: the minimal documentation, the functionality-driven nature of agile requirements, and insufficient non-functional requirements knowledge.  © 2023 ITMA.</t>
  </si>
  <si>
    <t>Iberian Conference on Information Systems and Technologies, CISTI</t>
  </si>
  <si>
    <t>2023-June</t>
  </si>
  <si>
    <t>10.23919/CISTI58278.2023.10211956</t>
  </si>
  <si>
    <t>https://www.scopus.com/inward/record.uri?eid=2-s2.0-85169843182&amp;doi=10.23919%2fCISTI58278.2023.10211956&amp;partnerID=40&amp;md5=e27d5ae206ce4e14985115ceb781dfff</t>
  </si>
  <si>
    <t>Alkhader Y.; Hudaib A.; Hammo B.</t>
  </si>
  <si>
    <t>Alkhader, Yara (24463295300); Hudaib, Amjad (16743774500); Hammo, Bassam (56129380500)</t>
  </si>
  <si>
    <t>24463295300; 16743774500; 56129380500</t>
  </si>
  <si>
    <t>Experimenting with extracting software requirements using NLP approach</t>
  </si>
  <si>
    <t>Requirement engineering is a fundamental step in the production of high quality software. Many attempts have been conducted to automate some aspects of the requirements engineering process. In this paper, we present a framework that provides the requirements engineers with an environment, which accepts English natural language requirements as input and automatically generates the corresponding UML class diagram designs. Moreover the framework can highlight the possibility of specification reusability through a reverse engineering process which saves the requirements engineers both time and efforts. © 2006 IEEE.</t>
  </si>
  <si>
    <t>2nd International Conference on Information and Automation, ICIA 2006</t>
  </si>
  <si>
    <t>4250226</t>
  </si>
  <si>
    <t>10.1109/ICINFA.2006.374136</t>
  </si>
  <si>
    <t>https://www.scopus.com/inward/record.uri?eid=2-s2.0-46849110384&amp;doi=10.1109%2fICINFA.2006.374136&amp;partnerID=40&amp;md5=8d03dedcdb8fe1fd17ce78b2ceae3355</t>
  </si>
  <si>
    <t>Allen J.; Reddivari S.</t>
  </si>
  <si>
    <t>Allen, Joseph (57219628254); Reddivari, Sandeep (49663771900)</t>
  </si>
  <si>
    <t>57219628254; 49663771900</t>
  </si>
  <si>
    <t>Efficient Parallel Wikipedia Internal Link Extraction for NLP-Assisted Requirements Understanding</t>
  </si>
  <si>
    <t>Requirements engineering (RE) is a critical set of activities in the software development life cycle (SDLC). Without effective requirements elicitation, organization, communication, and understanding software engineers cannot build quality soft-ware. Thus, it is necessary for software stakeholders to facilitate the SDLC by following best practices and utilizing software tools as needed to ensure requirements are well understood. One area where RE still faces issues, despite stakeholders' best efforts, is the communication of requirements amongst the various stakeholders. Software stakeholders consist of the customers, developers, managers, end users, and others with a vested interest in the software, and they typically all have different skillsets, backgrounds, vernaculars, and understanding of the requirements. These differences naturally lead to miscommunications which can lead to redundant, missing, or conflicting requirements, especially when customer and end user domains include complex vocabularies developers may not be accustomed to, and vice versa, e.g., biology, physics, and medicine. One approach in recent works to address this challenge has been to bridge the communication gap between stakeholders by constructing domain-specific ontologies using natural language processing (NLP) and Wikipedia [1]. With these ontologies, stakeholders have a convenient tool they can use to translate and understand specific requirements in the terminologies they're accustomed to. These techniques have shown promising potential, however there are computational challenges associated with efficiently handling a large dataset like Wikipedia. In particular, parsing internal links from Wikipedia article metadata can be a bottleneck in such ontology-construction systems. In this work we address this issue by implementing a program for memory-efficient parallel internal link extraction from Wikipedia articles. This builds on the work of Rodriguez et al. [2] by optimizing additional phases in the knowledge acquisition process. © 2022 IEEE.</t>
  </si>
  <si>
    <t>Proceedings - 2022 IEEE 46th Annual Computers, Software, and Applications Conference, COMPSAC 2022</t>
  </si>
  <si>
    <t>10.1109/COMPSAC54236.2022.00077</t>
  </si>
  <si>
    <t>https://www.scopus.com/inward/record.uri?eid=2-s2.0-85136911661&amp;doi=10.1109%2fCOMPSAC54236.2022.00077&amp;partnerID=40&amp;md5=c3d00e74d38ed6752b817453dd174f5a</t>
  </si>
  <si>
    <t>?</t>
  </si>
  <si>
    <t>Alsaedi T.; Phalp K.; Ali R.</t>
  </si>
  <si>
    <t>Alsaedi, Tahani (57212135212); Phalp, Keith (6603046847); Ali, Raian (56038311800)</t>
  </si>
  <si>
    <t>57212135212; 6603046847; 56038311800</t>
  </si>
  <si>
    <t>Towards an assessment method for social transparency in enterprise information systems</t>
  </si>
  <si>
    <t>Social transparency through an enterprise information system refers to the use of digital media by individuals and groups to communicate their own information voluntarily to others within their work environment. It is typically meant to support positive work ethics such as collaboration, trust, efficiency and informed decision-making. Unmanaged social transparency may lead to negative consequences such as information overload, motivating unwanted grouping amongst colleagues and leading to an increased pressure to perform in a certain manner. There is a lack of systematic methods to evaluate and assess the quality of social transparency in general and its shortcomings and risks in particular. Our research aims to provide engineering methods for social transparency platforms as a domain-specific social computing service that can shepherd interactions and analyse content and detect and correct anomalies. As a first step, we conducted a multistage qualitative study, including focus groups and in-depth interviews to explore and conceptualise online social transparency and the risks stemming from its unmanaged implementation. We provide a reference model as a starting point for methods to assess social transparency risks. Our conceptualisation and reference model are based on a goal-oriented requirement engineering (GORE) mindset mainly because transparency and its effects are closely related to intentions, tasks, resources, strategies, and inter-dependencies between organisational actors; all of which are common constructs in GORE. © 2019 IEEE.</t>
  </si>
  <si>
    <t>Proceedings - IEEE International Enterprise Distributed Object Computing Workshop, EDOCW</t>
  </si>
  <si>
    <t>2019-October</t>
  </si>
  <si>
    <t>8907274</t>
  </si>
  <si>
    <t>10.1109/EDOCW.2019.00033</t>
  </si>
  <si>
    <t>https://www.scopus.com/inward/record.uri?eid=2-s2.0-85076026659&amp;doi=10.1109%2fEDOCW.2019.00033&amp;partnerID=40&amp;md5=8b4495a84f3c4aeca8458a9199eaa19e</t>
  </si>
  <si>
    <t>Alturayeif N.; Hassine J.</t>
  </si>
  <si>
    <t>Alturayeif, Nouf (58666315200); Hassine, Jameleddine (9037557900)</t>
  </si>
  <si>
    <t>58666315200; 9037557900</t>
  </si>
  <si>
    <t>Detection of Linguistic Bad Smells in GRL Models: An NLP Approach</t>
  </si>
  <si>
    <t>Goal-Oriented Requirements Engineering (GORE) plays a crucial role in facilitating effective communication between stakeholders in system development. Through the use of goal models, GORE provides a structured approach for eliciting, analyzing, and managing requirements from the perspective of stakeholders' goals and intentions. However, goal models are susceptible to poor practices, called also bad smells, that may hinder the effective communication and understanding among stakeholders, potentially leading to misinterpretations and inconsistencies in requirements. In particular, goal models are prone to linguistic bad smells encompassing a spectrum of anoma-lies such as unclear or ambiguous goal statements, conflicting or contradictory requirements, and instances of misspellings. Therefore, identifying and addressing linguistic bad smells in goal models is crucial for ensuring the quality and accuracy of goal models. In this paper, we define seventeen linguistic bad smells in goal models, classified into four categories: Syntax, Semantics, Pragmatics, and Complexity. Furthermore, we provide Natural Language Processing (NLP) based detection methods for twelve specific bad smells, which we have automated to target Textual GRL (TGRL) models. The proposed approach and tool are evaluated using two TGRL models achieving an F2-Score of 0.8.  © 2023 IEEE.</t>
  </si>
  <si>
    <t>Proceedings - 2023 ACM/IEEE International Conference on Model Driven Engineering Languages and Systems Companion, MODELS-C 2023</t>
  </si>
  <si>
    <t>10.1109/MODELS-C59198.2023.00062</t>
  </si>
  <si>
    <t>https://www.scopus.com/inward/record.uri?eid=2-s2.0-85182396964&amp;doi=10.1109%2fMODELS-C59198.2023.00062&amp;partnerID=40&amp;md5=1f389177e89baa5fc3d016af9904c564</t>
  </si>
  <si>
    <t>Amna A.R.</t>
  </si>
  <si>
    <t>Amna, Anis R. (57195237096)</t>
  </si>
  <si>
    <t>57195237096</t>
  </si>
  <si>
    <t>The Use of Context-Free Grammar and Gamification to Reduce User Story Ambiguity and Raise Ambiguity Awareness: A Proposal</t>
  </si>
  <si>
    <t>User story ambiguity has been identified as a serious challenge in Requirements Engineering (RE) due to various linguistic and contextual constraints. These challenges have been addressed by research employing mainly Natural Language Programming (NLP) techniques and Conceptual Modeling. However, existing studies have only limitedly investigated the impact of personal and organizational elements on user story ambiguity and user awareness of ambiguity issues. Therefore, this research aims to mitigate user story ambiguity by developing a knowledge repository for user story writing from different domains. To do so, we aim to investigate the role of cognitive elements to enhance user story clarity. Technically, the use of context-free grammar will be investigated to maintain the quality of the knowledge repository. Finally, for raising awareness of ambiguity issues, gamification concepts (e.g., levels/tags, points) will be applied to monitor user progress. © 2021 CEUR-WS. All rights reserved.</t>
  </si>
  <si>
    <t>https://www.scopus.com/inward/record.uri?eid=2-s2.0-85105591163&amp;partnerID=40&amp;md5=df6992db0bdbdc1174c6efe25aa16d4a</t>
  </si>
  <si>
    <t>Ang A.</t>
  </si>
  <si>
    <t>Ang, Aries (25645734000)</t>
  </si>
  <si>
    <t>25645734000</t>
  </si>
  <si>
    <t>Improving the quality of knowledge representation for requirements engineering through natural language requirements patterns</t>
  </si>
  <si>
    <t>Requirements engineering (RE) provide means of communication for the effective support of subsequent software engineering phases. However, initial requirements are often in the form of natural language and are prone to ambiguity and imprecision. Therefore it is vital to elicit these requirements in a clear manner before representation. Guiding rules and language patterns are meant to help reduce ambiguities and imprecision in natural language requirements. This paper presents the application of language patterns to an object oriented knowledge representation framework with the objective of improving the quality of requirements representation.</t>
  </si>
  <si>
    <t>Proceedings of the 11th IASTED International Conference on Software Engineering and Applications, SEA 2007</t>
  </si>
  <si>
    <t>https://www.scopus.com/inward/record.uri?eid=2-s2.0-84959038106&amp;partnerID=40&amp;md5=1029adbe2c5b017a8f7f0d06f6ab0f16</t>
  </si>
  <si>
    <t>Annervaz K.M.; Kaulgud V.; Sengupta S.; Savagaonkar M.</t>
  </si>
  <si>
    <t>Annervaz, K.M. (55097116000); Kaulgud, Vikrant (14009680600); Sengupta, Shubhashis (15127774600); Savagaonkar, Milind (56027801900)</t>
  </si>
  <si>
    <t>55097116000; 14009680600; 15127774600; 56027801900</t>
  </si>
  <si>
    <t>Natural language requirements quality analysis based on business domain models</t>
  </si>
  <si>
    <t>Quality of requirements written in natural language has always been a critical concern in software engineering. Poorly written requirements lead to ambiguity and false interpretation in different phases of a software delivery project. Further, incomplete requirements lead to partial implementation of the desired system behavior. In this paper, we present a model for harvesting domain (functional or business) knowledge. Subsequently we present natural language processing and ontology based techniques for leveraging the model to analyze requirements quality and for requirements comprehension. The prototype also provides an advisory to business analysts so that the requirements can be aligned to the expected domain standard. The prototype developed is currently being used in practice, and the initial results are very encouraging. © 2013 IEEE.</t>
  </si>
  <si>
    <t>2013 28th IEEE/ACM International Conference on Automated Software Engineering, ASE 2013 - Proceedings</t>
  </si>
  <si>
    <t>6693132</t>
  </si>
  <si>
    <t>10.1109/ASE.2013.6693132</t>
  </si>
  <si>
    <t>https://www.scopus.com/inward/record.uri?eid=2-s2.0-84893621924&amp;doi=10.1109%2fASE.2013.6693132&amp;partnerID=40&amp;md5=cf2527d6178a2542e018f3670a9a74a2</t>
  </si>
  <si>
    <t>Apaza R.D.G.; Barrios J.E.M.; Becerra D.A.I.; Quispe J.A.H.</t>
  </si>
  <si>
    <t>Apaza, Renán Darío Gonzales (57204358390); Barrios, Jhon Edilberto Monroy (57202130946); Becerra, Diego Alonso Iquira (58023836400); Quispe, José Alfredo Herrera (57188628893)</t>
  </si>
  <si>
    <t>57204358390; 57202130946; 58023836400; 57188628893</t>
  </si>
  <si>
    <t>ERS-Tool: Hybrid model for software requirements elicitation in Spanish language</t>
  </si>
  <si>
    <t>The nature of the software requirements is subjective and varied. For this reason the level of complexity increases according to the volume, especially when the requirements are made in a natural language. Therefore obtain quality software requirements that are understandable and unambiguous in the Spanish language becomes a necessity. First, a controlled syntax was proposed to express software requirements taking into account the static and dynamic behavior among the different actors of the system, where the expressions are elaborated based on the Backus–Naur form (BNF). Then a set of writing rules were adapted to the Spanish language, creating four additional rules. Finally, the results of the case study had high accuracy in understandability; also the ambiguity of requirements elicitation was reduced. In addition to improving the development of software engineering activities, since there are no tools available for the elicitation of software requirements with language Spanish. © 2018 Association for Computing Machinery.</t>
  </si>
  <si>
    <t>10.1145/3220228.3220255</t>
  </si>
  <si>
    <t>https://www.scopus.com/inward/record.uri?eid=2-s2.0-85055292004&amp;doi=10.1145%2f3220228.3220255&amp;partnerID=40&amp;md5=55ca24f8698521825b42ad1e3ce57915</t>
  </si>
  <si>
    <t>Arendse B.; Lucassen G.</t>
  </si>
  <si>
    <t>Arendse, Brian (57193328498); Lucassen, Garm (55320535500)</t>
  </si>
  <si>
    <t>57193328498; 55320535500</t>
  </si>
  <si>
    <t>Toward tool mashups: Comparing and combining NLP RE tools</t>
  </si>
  <si>
    <t>Over 50 papers present natural language processing tools for improving the quality of requirements. However, few of these are adopted by industry. Even worse, most of them are no longer publicly available or supported by their creators. The few available and actively maintained tools exhibit some outstanding features, but also include sub-optimal functionalities. In this paper, we compare the performance of 3 existing tools on how well they automatically detect ambiguity and atomicity defects and deviations in 4 real-world natural language requirements sets. Next, we show how to design a superior tool by combining the best performing approaches of these three. Finally, we introduce a research roadmap toward automatically generating NLP RE tool mashups through the assembly of modular components taken from existing tools. © 2016 IEEE.</t>
  </si>
  <si>
    <t>Proceedings - 2016 IEEE 24th International Requirements Engineering Conference Workshops, REW 2016</t>
  </si>
  <si>
    <t>7815602</t>
  </si>
  <si>
    <t>10.1109/REW.2016.44</t>
  </si>
  <si>
    <t>https://www.scopus.com/inward/record.uri?eid=2-s2.0-85013115851&amp;doi=10.1109%2fREW.2016.44&amp;partnerID=40&amp;md5=638c2de786e2ca4cf601351d87373f9f</t>
  </si>
  <si>
    <t>Arora C.; Sabetzadeh M.; Briand L.; Zimmer F.; Gnaga R.</t>
  </si>
  <si>
    <t>Arora, Chetan (55848706400); Sabetzadeh, Mehrdad (9133712900); Briand, Lionel (7006613079); Zimmer, Frank (14057376900); Gnaga, Raul (55849171900)</t>
  </si>
  <si>
    <t>55848706400; 9133712900; 7006613079; 14057376900; 55849171900</t>
  </si>
  <si>
    <t>Automatic checking of conformance to requirement boilerplates via text chunking: An industrial case study</t>
  </si>
  <si>
    <t>Context, Boilerplates have long been used in Requirements Engineering (RE) to increase the precision of natural language requirements and to avoid ambiguity problems caused by unrestricted natural language. When boilerplates are used, an important quality assurance task is to verify that the requirements indeed conform to the boilerplates. Objective. If done manually, checking conformance to boilerplates is laborious, presenting a particular challenge when the task has to be repeated multiple times in response to requirements changes. Our objective is to provide automation for checking conformance to boilerplates using a Natural Language Processing (NLP) technique, called Text Chunking, and to empirically validate the effectiveness of the automation. Method. We use an exploratory case study, conducted in an industrial setting, as the basis for our empirical investigation. Results. We present a generalizable and tool-supported approach for boilerplate conformance checking. We report on the application of our approach to the requirements document for a major software component in the satellite domain. We compare alternative text chunking solutions and argue about their effectiveness for boilerplate conformance checking. Conclusion. Our results indicate that: (1) text chunking provides a robust and accurate basis for checking conformance to boilerplates, and (2) the effectiveness of boilerplate conformance checking based on text chunking is not compromised even when the requirements glossary terms are unknown. This makes our work particularly relevant to practice, as many industrial requirements documents have incomplete glossaries. © 2013 IEEE.</t>
  </si>
  <si>
    <t>International Symposium on Empirical Software Engineering and Measurement</t>
  </si>
  <si>
    <t>6681336</t>
  </si>
  <si>
    <t>10.1109/ESEM.2013.13</t>
  </si>
  <si>
    <t>https://www.scopus.com/inward/record.uri?eid=2-s2.0-84893293634&amp;doi=10.1109%2fESEM.2013.13&amp;partnerID=40&amp;md5=6cc985d8b1e6bf7a20e177dae478f26c</t>
  </si>
  <si>
    <t>Aszani; Mulyana S.</t>
  </si>
  <si>
    <t>Aszani (57202984635); Mulyana, Sri (57207940268)</t>
  </si>
  <si>
    <t>57202984635; 57207940268</t>
  </si>
  <si>
    <t>Model-Based Design of User Story Using Named Entity Recognition (NER)</t>
  </si>
  <si>
    <t>The needs analysis method to determine system specifications is generally represented as a user story. A user story is built to achieve the goals and values from the user’s point of view as the party requesting and will use the system. In this study, Named-Entity Recognition (NER) has been applied to build a model-based design for analysis techniques to identify, find and categorize user stories. Therefore, it can help system analysts and software development teams understand and improve user stories’ quality. The design model using spaCy’s library has an evaluation of the ten datasets. The order to evaluate the accuracy value is known for precision value is 97.45%, the recall value reached 99.67%, and the F1-Score was 84.61%. The experimental results show that the number of sentences does not affect the recall value and f1-score. However, the amount of data does not determine the accuracy of the label prediction. © 2023, The Author(s), under exclusive license to Springer Nature Switzerland AG.</t>
  </si>
  <si>
    <t>Lecture Notes in Networks and Systems</t>
  </si>
  <si>
    <t>853 LNNS</t>
  </si>
  <si>
    <t>10.1007/978-3-031-50327-6_15</t>
  </si>
  <si>
    <t>https://www.scopus.com/inward/record.uri?eid=2-s2.0-85180533300&amp;doi=10.1007%2f978-3-031-50327-6_15&amp;partnerID=40&amp;md5=4f05b0a5298e784e24a94fe31c60c229</t>
  </si>
  <si>
    <t>Athiththan K.; Rovinsan S.; Sathveegan S.; Gunasekaran N.; Gunawardena K.S.A.W.; Kasthurirathna D.</t>
  </si>
  <si>
    <t>Athiththan, Kathirgamasegaran (57215349357); Rovinsan, Selvaratnam (57215350671); Sathveegan, Srijeevahan (57215361686); Gunasekaran, Nahanaa (57215363799); Gunawardena, Kamila S. A. W. (57215360761); Kasthurirathna, Dharshana (54420261000)</t>
  </si>
  <si>
    <t>57215349357; 57215350671; 57215361686; 57215363799; 57215360761; 54420261000</t>
  </si>
  <si>
    <t>An Ontology-based Approach to Automate the Software Development Process</t>
  </si>
  <si>
    <t>Ontologies are well-known for representing knowledge of a particular domain and an upcoming trend in the field of Computer Science to produce intelligent systems. Further, they help to solve traceability issues and transitive dependencies. Creation of software applications and use of software applications are increased due to new and innovative customer requirements and technologies. Development teams are following several Software Development methodologies to support and to produce quality software applications to the outer world. Agile methodologies are becoming more popular in small organizations and development teams to support the feature by feature development with less throughput. User Stories represent the actual user requirements in Agile. This paper proposes a solution named Sponto, which to automate the software development process using ontology-based approaches to produce reliable boilerplates to the developers and the communities to reuse the base and to build the software applications without spending a considerable amount of time on recreating the artifacts. The proposed solution supports and generates database scripts, Business Process Model diagrams, Java code snippets, and test cases from user stories. © 2018 IEEE.</t>
  </si>
  <si>
    <t>2018 IEEE 9th International Conference on Information and Automation for Sustainability, ICIAfS 2018</t>
  </si>
  <si>
    <t>8913339</t>
  </si>
  <si>
    <t>10.1109/ICIAFS.2018.8913339</t>
  </si>
  <si>
    <t>https://www.scopus.com/inward/record.uri?eid=2-s2.0-85076905570&amp;doi=10.1109%2fICIAFS.2018.8913339&amp;partnerID=40&amp;md5=8220d0891893f6abc4cf5c12331ebf44</t>
  </si>
  <si>
    <t>Babar M.A.</t>
  </si>
  <si>
    <t>Babar, Muhammad Ali (6602842620)</t>
  </si>
  <si>
    <t>6602842620</t>
  </si>
  <si>
    <t>An Experience of Applying Architecture-based Approach to Build a Component-based Requirements Management Toolset</t>
  </si>
  <si>
    <t>It has been advocated and shown that software architecture can be an effective tool to reduce development cost and increase the quality of the end product [1]. Rigorous efforts invested in architectural design and evaluation activities results in increased comprehension of the system, better communication among stakeholders, effective project management, controlled evolution, and rapid development [2, 3]. This paper presents our experience of applying an architecture-based approach to develop an integrated requirements management toolset, PARSNIP (PARsed Natural language Input Processor). We also report the integration issues peculiar to our project, our approach to address them and rational for our architectural and integration decisions.</t>
  </si>
  <si>
    <t>Proceedings - IEEE Computer Society's International Computer Software and Applications Conference</t>
  </si>
  <si>
    <t>https://www.scopus.com/inward/record.uri?eid=2-s2.0-0344235383&amp;partnerID=40&amp;md5=c6b92f4aa7b16d5b935b5d8a4baae7b8</t>
  </si>
  <si>
    <t>Bajceta A.; Leon M.; Afzal W.; Lindberg P.; Bohlin M.</t>
  </si>
  <si>
    <t>Bajceta, Aleksandar (57612821200); Leon, Miguel (56208624200); Afzal, Wasif (24832739300); Lindberg, Pernilla (57614783800); Bohlin, Markus (23487993800)</t>
  </si>
  <si>
    <t>57612821200; 56208624200; 24832739300; 57614783800; 23487993800</t>
  </si>
  <si>
    <t>Using NLP Tools to Detect Ambiguities in System Requirements - A Comparison Study</t>
  </si>
  <si>
    <t>Requirements engineering is a time-consuming process, and it can benefit significantly from automated tool support. Ambiguity detection in natural language requirements is a challenging problem in the requirements engineering community. Several Natural Language Processing tools and techniques have been developed to improve and solve the problem of ambiguity detection in natural language requirements. However, there is a lack of empirical evaluation of these tools. We aim to contribute the understanding of the empirical performance of such solutions by evaluating four tools using the dataset of 180 system requirements from the electric train propulsion system provided to us by our industrial partner Alstom. The tools that were selected for this study are Automated Requirements Measurement (ARM), Quality Analyzer for Requirement Specifications (QuARS), REquirements Template Analyzer (RETA), and Requirements Complexity Measurement (RCM). Our analysis showed that selected tools could achieve high recall. Two of them had the recall of 0.85 and 0.98. But they struggled to achieve high precision. The RCM, an in-house developed tool by our industrial partner Alstom, achieved the highest precision in our study of 0.68. © 2021 Copyright for this paper by its authors</t>
  </si>
  <si>
    <t>https://www.scopus.com/inward/record.uri?eid=2-s2.0-85128766940&amp;partnerID=40&amp;md5=2bc6db628a61024ed285646191effc44</t>
  </si>
  <si>
    <t>Bakiu E.; Guzman E.</t>
  </si>
  <si>
    <t>Bakiu, Elsa (57197772281); Guzman, Emitza (55848754200)</t>
  </si>
  <si>
    <t>57197772281; 55848754200</t>
  </si>
  <si>
    <t>Which feature is unusable? Detecting usability and user experience issues from user reviews</t>
  </si>
  <si>
    <t>Usability and user experience (UUX) strongly affect software quality and success. User reviews allow software users to report UUX issues. However, this information can be difficult to access due to the varying quality of the reviews, its large numbers and unstructured nature. In this work we propose an approach to automatically detect the UUX strengths and issues of software features according to user reviews. We use a collocation algorithm for extracting the features, lexical sentiment analysis for uncovering users' satisfaction about a particular feature and machine learning for detecting the specific UUX issues affecting the software application. Additionally, we present two visualizations of the results. An initial evaluation of the approach against human judgement obtained mixed results. © 2017 IEEE.</t>
  </si>
  <si>
    <t>Proceedings - 2017 IEEE 25th International Requirements Engineering Conference Workshops, REW 2017</t>
  </si>
  <si>
    <t>8054850</t>
  </si>
  <si>
    <t>10.1109/REW.2017.76</t>
  </si>
  <si>
    <t>https://www.scopus.com/inward/record.uri?eid=2-s2.0-85034624891&amp;doi=10.1109%2fREW.2017.76&amp;partnerID=40&amp;md5=44142b9b50bb7369f3204aecb7ecd5e8</t>
  </si>
  <si>
    <t>Barrera J.M.; Reina-Reina A.; Lavalle A.; Maté A.; Trujillo J.</t>
  </si>
  <si>
    <t>Barrera, Jose M. (57219122400); Reina-Reina, Alejandro (57563933300); Lavalle, Ana (57212223210); Maté, Alejandro (42961909600); Trujillo, Juan (7103051196)</t>
  </si>
  <si>
    <t>57219122400; 57563933300; 57212223210; 42961909600; 7103051196</t>
  </si>
  <si>
    <t>An extension of iStar for Machine Learning requirements by following the PRISE methodology</t>
  </si>
  <si>
    <t>The rise of Artificial Intelligence (AI) and Deep Learning has led to Machine Learning (ML) becoming a common practice in academia and enterprise. However, a successful ML project requires deep domain knowledge as well as expertise in a plethora of algorithms and data processing techniques. This leads to a stronger dependency and need for communication between developers and stakeholders where numerous requirements come into play. More specifically, in addition to functional requirements such as the output of the model (e.g. classification, clustering or regression), ML projects need to pay special attention to a number of non-functional and quality aspects particular to ML. These include explainability, noise robustness or equity among others. Failure to identify and consider these aspects will lead to inadequate algorithm selection and the failure of the project. In this sense, capturing ML requirements becomes critical. Unfortunately, there is currently an absence of ML requirements modeling approaches. Therefore, in this paper we present the first i* extension for capturing ML requirements and apply it to two real-world projects. Our study covers two main objectives for ML requirements: (i) allows domain experts to specify objectives and quality aspects to be met by the ML solution, and (ii) facilitates the selection and justification of the most adequate ML approaches. Our case studies show that our work enables better ML algorithm selection, preprocessing implementation tailored to each algorithm, and aids in identifying missing data. In addition, they also demonstrate the flexibility of our study to adapt to different domains. © 2023 The Author(s)</t>
  </si>
  <si>
    <t>Computer Standards and Interfaces</t>
  </si>
  <si>
    <t>88</t>
  </si>
  <si>
    <t>103806</t>
  </si>
  <si>
    <t>10.1016/j.csi.2023.103806</t>
  </si>
  <si>
    <t>https://www.scopus.com/inward/record.uri?eid=2-s2.0-85175563168&amp;doi=10.1016%2fj.csi.2023.103806&amp;partnerID=40&amp;md5=6d2067112bc5656d568f7adacb120e23</t>
  </si>
  <si>
    <t>Preprint</t>
  </si>
  <si>
    <t>arXiv</t>
  </si>
  <si>
    <t>Belzner L.; Gabor T.; Wirsing M.</t>
  </si>
  <si>
    <t>Belzner, Lenz (56208711100); Gabor, Thomas (56543113300); Wirsing, Martin (7003572775)</t>
  </si>
  <si>
    <t>56208711100; 56543113300; 7003572775</t>
  </si>
  <si>
    <t>Large Language Model Assisted Software Engineering: Prospects, Challenges, and a Case Study</t>
  </si>
  <si>
    <t>Large language models such as OpenAI’s GPT and Google’s Bard offer new opportunities for supporting software engineering processes. Large language model assisted software engineering promises to support developers in a conversational way with expert knowledge over the whole software lifecycle. Current applications range from requirements extraction, ambiguity resolution, code and test case generation, code review and translation to verification and repair of software vulnerabilities. In this paper we present our position on the potential benefits and challenges associated with the adoption of language models in software engineering. In particular, we focus on the possible applications of large language models for requirements engineering, system design, code and test generation, code quality reviews, and software process management. We also give a short review of the state-of-the-art of large language model support for software construction and illustrate our position by a case study on the object-oriented development of a simple “search and rescue” scenario. © 2024, The Author(s), under exclusive license to Springer Nature Switzerland AG.</t>
  </si>
  <si>
    <t>14380 LNCS</t>
  </si>
  <si>
    <t>10.1007/978-3-031-46002-9_23</t>
  </si>
  <si>
    <t>https://www.scopus.com/inward/record.uri?eid=2-s2.0-85180630873&amp;doi=10.1007%2f978-3-031-46002-9_23&amp;partnerID=40&amp;md5=317aeedef81c776751800c5f7caa7a52</t>
  </si>
  <si>
    <t>Ben Achour C.; Rolland C.; Maiden N.A.M.; Souveyet C.</t>
  </si>
  <si>
    <t>Ben Achour, C. (6506290577); Rolland, C. (7005299219); Maiden, N.A.M. (7004840562); Souveyet, C. (6602414443)</t>
  </si>
  <si>
    <t>6506290577; 7005299219; 7004840562; 6602414443</t>
  </si>
  <si>
    <t>Guiding use case authoring: results of an empirical study</t>
  </si>
  <si>
    <t>This paper presents results from the first of two empirical studies which examine the effectiveness of guidelines for use case authoring. The ESPRIT 21.903 CREWS long-term research project has developed style and content guidelines for authoring use cases for requirements acquisition and validation. The effectiveness of these guidelines has been evaluated under different conditions. Results indicate that: i. the authoring guidelines improve the overall quality of the use case prose, ii. the different guidelines work differently and with different levels of efficiency, and iii use cases are never entirely correctly written; thus, they can be systematically corrected. The paper details a qualitative and quantitative comparison between guided and non-guided use case authoring. It outlines lessons learned and implications for the CREWS software tools design.</t>
  </si>
  <si>
    <t>https://www.scopus.com/inward/record.uri?eid=2-s2.0-0032637376&amp;partnerID=40&amp;md5=0130c4be3805735f137cdb6a0b7e2948</t>
  </si>
  <si>
    <t>Berhanu F.; Alemneh E.</t>
  </si>
  <si>
    <t>Berhanu, Fekerte (58040348100); Alemneh, Esubalew (57201989800)</t>
  </si>
  <si>
    <t>58040348100; 57201989800</t>
  </si>
  <si>
    <t>Classification and Prioritization of Requirements Smells Using Machine Learning Techniques</t>
  </si>
  <si>
    <t>Software requirements are a description of what the software is expected to do and behave. Specifying requirements in natural language might face difficulties like clarity, inaccuracy, ambiguity, incompleteness, vagueness etc. An indicator of such problems in requirements are technically termed as requirement smells. They need early detection and rapid response to ensure the quality of requirements. However, previous requirement smells detection approaches have scalability and flexibility problems, and poor performance. In addition, there is a gap on prioritizing detected requirement smells to take an appropriate action based on the order. In this study, we address the gaps by developing a Machine Learning (ML) based approach for the classification and prioritization of requirement smells. We have collected 3100 requirements and labeled them by experts. To prioritize requirements smells, we have used requirement smells severity level collected from experts and requirements importance level from Software Requirement Specification (SRS) document. Then, textual requirements were preprocessed using Natural Language Processing (NLP) techniques, and features were extracted using TF-IDF and BOW. We have used 80/20 train-Test split ratio. For both classification and prioritization model building, commonly used classification algorithms LR, NB, SVM, DT, and KNN were applied and their performance is compared. Moreover, we have also used an additional sorting method for prioritizing requirement smells detected from a single project. As a result, LR with TF-IDF achieved highest performance with 94% accuracy for requirement smells classification. For requirement smells prioritization, SVM outperformed other algorithms with 99% accuracy.  © 2023 IEEE.</t>
  </si>
  <si>
    <t>2023 International Conference on Information and Communication Technology for Development for Africa, ICT4DA 2023</t>
  </si>
  <si>
    <t>10.1109/ICT4DA59526.2023.10302263</t>
  </si>
  <si>
    <t>https://www.scopus.com/inward/record.uri?eid=2-s2.0-85179177077&amp;doi=10.1109%2fICT4DA59526.2023.10302263&amp;partnerID=40&amp;md5=608e37de8fbc4cdb0179d6adbcf7305d</t>
  </si>
  <si>
    <t>Bertram V.; Kausch H.; Kusmenko E.; Nqiri H.; Rumpe B.; Venhoff C.</t>
  </si>
  <si>
    <t>Bertram, Vincent (57192954469); Kausch, Hendrik (57216257592); Kusmenko, Evgeny (57195075206); Nqiri, Haron (58653595400); Rumpe, Bernhard (55861872700); Venhoff, Constantin (58654036800)</t>
  </si>
  <si>
    <t>57192954469; 57216257592; 57195075206; 58653595400; 55861872700; 58654036800</t>
  </si>
  <si>
    <t>Leveraging Natural Language Processing for a Consistency Checking Toolchain of Automotive Requirements</t>
  </si>
  <si>
    <t>In the automotive industry, specifications often consist of a large number of textual requirements. These requirements are linguistically ambiguous and written in informal language. Utilizing Structured English for requirements eliminates ambiguity, improves data quality, and supports further automated processing while maintaining readability. The recent development of large language models enables a fully automated translation approach using few-shot learning. To deal with the limited context size of large language models, an improved algorithm, OptKATE, is presented to find an ideal set of requirements for few-shot learning. Structured English can be used as a basis for further formalization. This capability is key in creating an interface between natural language processing and verification, in our case, consistency analysis using the Z3 SMT solver. We implemented a grammar for translating Structured English into TCTL using the MontiCore workbench. Furthermore, since SMT-based methods currently rely on manual precondition satisfaction and do not tackle conflicting preconditions automatically, we propose a scenario generation algorithm that generates potential scenarios using the specification and checks the requirements against them. Through this approach, we can better identify and resolve conflicting preconditions, ultimately improving the consistency of requirements. Our toolchain is evaluated using an automotive requirements dataset provided by former Daimler AG.  © 2023 IEEE.</t>
  </si>
  <si>
    <t>2023-September</t>
  </si>
  <si>
    <t>10.1109/RE57278.2023.00029</t>
  </si>
  <si>
    <t>https://www.scopus.com/inward/record.uri?eid=2-s2.0-85174411487&amp;doi=10.1109%2fRE57278.2023.00029&amp;partnerID=40&amp;md5=d98c62b056132027522af34e29866df9</t>
  </si>
  <si>
    <t>Bhatia K.; Sharma A.</t>
  </si>
  <si>
    <t>Bhatia, Kushagra (57216158847); Sharma, Arpit (59096558700)</t>
  </si>
  <si>
    <t>57216158847; 59096558700</t>
  </si>
  <si>
    <t>Sector classification for crowd-based software requirements</t>
  </si>
  <si>
    <t>Requirements engineering (RE) is the process of defining, documenting, and maintaining software requirements. Crowd-based RE (CrowdRE) involves large scale user participation in requirements engineering tasks. It improves the quality of software requirements and helps in reducing the cost. Manual extraction of useful insights from a large body of unstructured, and noisy natural language data produced during CrowdRE is an expensive, error prone and time consuming task. Thus, automated techniques are required for processing the CrowdRE data. We focus on the problem of automatic classification of crowd-based software requirements into sectors. We propose three different approaches for sector classification of crowd-based software requirements. These approaches are based on supervised machine learning (ML) models, neural networks, and bidirectional encoder representations from transformers (BERT), respectively. We apply our classification approaches to a large-sized requirements document, i.e. a CrowdRE dataset with around 3000 crowd-generated requirements for smart home applications. To evaluate the quality of our classification algorithms we use the publicly available ground truth data for computing precision, recall, and F-score. We compare the performance of several classification algorithms and our detailed experiments indicate that these algorithms can be very useful for categorizing crowd-based requirements into sectors. © 2021 ACM.</t>
  </si>
  <si>
    <t>Proceedings of the ACM Symposium on Applied Computing</t>
  </si>
  <si>
    <t>10.1145/3412841.3442005</t>
  </si>
  <si>
    <t>https://www.scopus.com/inward/record.uri?eid=2-s2.0-85104989816&amp;doi=10.1145%2f3412841.3442005&amp;partnerID=40&amp;md5=0cd35061ce419370384162bc13cef7bb</t>
  </si>
  <si>
    <t>Blasek N.; Eichenmüller K.; Ernst B.; Götz N.; Nast B.; Sandkuhl K.</t>
  </si>
  <si>
    <t>Blasek, Nico (58923848300); Eichenmüller, Karl (58924032900); Ernst, Bastian (58753741700); Götz, Niklas (58923893400); Nast, Benjamin (57433646700); Sandkuhl, Kurt (6603331991)</t>
  </si>
  <si>
    <t>58923848300; 58924032900; 58753741700; 58923893400; 57433646700; 6603331991</t>
  </si>
  <si>
    <t>Large language models in requirements engineering for digital twins</t>
  </si>
  <si>
    <t>Can large language models (LLMs) be used for digital twin engineering (DTE)? Engineering digital twins (DTs) is a complex process consisting of several phases and involving different disciplines. We argue that an investigation of LLM use in DTE has to define what kinds of DTs are in focus and what DTE phases shall be supported. In our work, we concentrate on the early phases of DTE, with a particular focus on requirements engineering (RE), and we focus on supervisory and operational DTs. This paper investigates the quality of LLM output for defining requirements for DTs. The main contributions of our work are results from an experiment comparing requirements to a DT of an air conditioning facility of a domain expert and ChatGPT and conclusions for prompt engineering resulting from this experiment. © 2023 Copyright for this paper by its authors. Use permitted under Creative Commons License Attribution 4.0 International (CC BY 4.0).</t>
  </si>
  <si>
    <t>3645</t>
  </si>
  <si>
    <t>https://www.scopus.com/inward/record.uri?eid=2-s2.0-85186961854&amp;partnerID=40&amp;md5=ee90c31d4520c375549194130c380710</t>
  </si>
  <si>
    <t>Borg M.; Bengtsson J.; Osterling H.; Hagelborn A.; Gagner I.; Tomaszewski P.</t>
  </si>
  <si>
    <t>Borg, Markus (37103431600); Bengtsson, Johan (36932784700); Osterling, Harald (57572739100); Hagelborn, Alexander (57573697900); Gagner, Isabella (57224155557); Tomaszewski, Piotr (8906474400)</t>
  </si>
  <si>
    <t>37103431600; 36932784700; 57572739100; 57573697900; 57224155557; 8906474400</t>
  </si>
  <si>
    <t>Quality Assurance of Generative Dialog Models in an Evolving Conversational Agent Used for Swedish Language Practice</t>
  </si>
  <si>
    <t>Due to the migration megatrend, efficient and effective second-language acquisition is vital. One proposed solution involves AI-enabled conversational agents for person-centered interactive language practice. We present results from ongoing action research targeting quality assurance of proprietary generative dialog models trained for virtual job interviews. The action team elicited a set of 38 requirements for which we designed corresponding automated test cases for 15 of particular interest to the evolving solution. Our results show that six of the test case designs can detect meaningful differences between candidate models. While quality assurance of natural language processing applications is complex, we provide initial steps toward an automated framework for machine learning model selection in the context of an evolving conversational agent. Future work will focus on model selection in an MLOps setting.  © 2022 ACM.</t>
  </si>
  <si>
    <t>Proceedings - 1st International Conference on AI Engineering - Software Engineering for AI, CAIN 2022</t>
  </si>
  <si>
    <t>10.1145/3522664.3528592</t>
  </si>
  <si>
    <t>https://www.scopus.com/inward/record.uri?eid=2-s2.0-85133467455&amp;doi=10.1145%2f3522664.3528592&amp;partnerID=40&amp;md5=c96498e5deeae9915eb8823bccdbb00d</t>
  </si>
  <si>
    <t xml:space="preserve">Borg, M.; Bengtsson, J.; Österling, H.; Hagelborn, A.; Gagner, I.; Tomaszewski, P. </t>
  </si>
  <si>
    <t xml:space="preserve">Borg, Markus; Bengtsson, Johan; Österling, Harald; Hagelborn, Alexander; Gagner, Isabella; Tomaszewski, Piotr </t>
  </si>
  <si>
    <t>10.48550/arXiv.2203.15414</t>
  </si>
  <si>
    <t>https://arxiv.org/abs/2203.15414v1</t>
  </si>
  <si>
    <t>Bortoli Fávero, E. M. D.; Casanova, D.</t>
  </si>
  <si>
    <t>Bortoli Fávero, Eliane Maria De; Casanova, Dalcimar</t>
  </si>
  <si>
    <t>BERT_SE: A Pre-trained Language Representation Model for Software Engineering</t>
  </si>
  <si>
    <t>The application of Natural Language Processing (NLP) has achieved a high level of relevance in several areas. In the field of software engineering (SE), NLP applications are based on the classification of similar texts (e.g. software requirements), applied in tasks of estimating software effort, selection of human resources, etc. Classifying software requirements has been a complex task, considering the informality and complexity inherent in the texts produced during the software development process. The pre-trained embedding models are shown as a viable alternative when considering the low volume of textual data labeled in the area of software engineering, as well as the lack of quality of these data. Although there is much research around the application of word embedding in several areas, to date, there is no knowledge of studies that have explored its application in the creation of a specific model for the domain of the SE area. Thus, this article presents the proposal for a contextualized embedding model, called BERT_SE, which allows the recognition of specific and relevant terms in the context of SE. The assessment of BERT_SE was performed using the software requirements classification task, demonstrating that this model has an average improvement rate of 13% concerning the BERT_base model, made available by the authors of BERT. The code and pre-trained models are available at this https URL.</t>
  </si>
  <si>
    <t>NLP Techniques and Applications</t>
  </si>
  <si>
    <t>10.5121/csit.2021.111909</t>
  </si>
  <si>
    <t>https://arxiv.org/abs/2112.00699v1</t>
  </si>
  <si>
    <t>Böschen M.; Bogusch R.; Fraga A.; Rudat C.</t>
  </si>
  <si>
    <t>Böschen, Martin (56368308400); Bogusch, Ralf (6602474824); Fraga, Anabel (17345500400); Rudat, Christian (55317683700)</t>
  </si>
  <si>
    <t>56368308400; 6602474824; 17345500400; 55317683700</t>
  </si>
  <si>
    <t>Bridging the gap between natural language requirements and formal specifications</t>
  </si>
  <si>
    <t>In this paper, we discuss the problem of transforming a natural language requirements specification into a formal specification. We present several methods to support the process and implemented them in a commercial tool, the Requirements Quality Suite. We achieve this by enriching the requirement text with additional structure (using a knowledge base) and asking the requirement engineer to formulate the requirements in Boilerplates. The additional structure is used to analyze the requirements automatically or semi-automatically leading finally to a formal specification. The formal specification then enables verification activities, such as testing or formal analysis. We discuss our methods by examples from an industrial case study and report on our experiences.</t>
  </si>
  <si>
    <t>1564</t>
  </si>
  <si>
    <t>https://www.scopus.com/inward/record.uri?eid=2-s2.0-84964692769&amp;partnerID=40&amp;md5=7a068ece59f871118b511dad36c2c2a3</t>
  </si>
  <si>
    <t>Boyd S.; Zowghi D.; Gervasi V.</t>
  </si>
  <si>
    <t>Boyd, Stephen (57198337660); Zowghi, Didar (6602925723); Gervasi, Vincenzo (6602711200)</t>
  </si>
  <si>
    <t>57198337660; 6602925723; 6602711200</t>
  </si>
  <si>
    <t>Optimal-constraint lexicons for requirements specifications</t>
  </si>
  <si>
    <t>Constrained Natural Languages (CNLs) are becoming an increasingly popular way of writing technical documents such as requirements specifications. This is because CNLs aim to reduce the ambiguity inherent within natural languages, whilst maintaining their readability and expressiveness. The design of existing CNLs appears to be unfocused towards achieving specific quality outcomes, in that the majority of lexical selections have been based upon lexicographer preferences rather than an optimum trade-off between quality factors such as ambiguity, readability, expressiveness, and lexical magnitude. In this paper we introduce the concept of 'replaceability' as a way of identifying the lexical redundancy inherent within a sample of requirements. Our novel and practical approach uses Natural Language Processing (NLP) techniques to enable us to make dynamic trade-offs between quality factors to optimise the resultant CNL. We also challenge the concept of a CNL being a one-dimensional static language, and demonstrate that our optimal-constraint process results in a CNL that can adapt to a changing domain while maintaining its expressiveness. © Springer-Verlag Berlin Heidelberg 2007.</t>
  </si>
  <si>
    <t>10.1007/978-3-540-73031-6_15</t>
  </si>
  <si>
    <t>https://www.scopus.com/inward/record.uri?eid=2-s2.0-38149111230&amp;doi=10.1007%2f978-3-540-73031-6_15&amp;partnerID=40&amp;md5=a45bb92c64e1533333e2f46c5f7a22e4</t>
  </si>
  <si>
    <t>Bucchiarone A.; Gnesi S.; Fantechi A.; Trentanni G.</t>
  </si>
  <si>
    <t>Bucchiarone, Antonio (13105059800); Gnesi, Stefania (6603718373); Fantechi, Alessandro (6701442229); Trentanni, Gianluca (16640874900)</t>
  </si>
  <si>
    <t>13105059800; 6603718373; 6701442229; 16640874900</t>
  </si>
  <si>
    <t>An experience in using a tool for evaluating a large set of natural language requirements</t>
  </si>
  <si>
    <t>Requirements analysis is an important phase in a software project. It is often performed in an informal way by specialists who review documents looking for ambiguities, technical inconsistencies and incompleteness. Automatic evaluation of Natural Language (NL) requirements documents has been proposed as a means to improve the quality of the system under development. We show how the tool QuARS Express, introduced in a quality analysis process, is able to manage complex and structured requirement documents containing metadata, and to produce an analysis report rich of categorized information that points out linguistic defects and indications about the writing style of NL requirements. In this paper we report our experience using this tool in the automatic analysis of a large collection of natural language requirements, produced inside the MODCONTROL project. © 2010 ACM.</t>
  </si>
  <si>
    <t>10.1145/1774088.1774148</t>
  </si>
  <si>
    <t>https://www.scopus.com/inward/record.uri?eid=2-s2.0-77954712581&amp;doi=10.1145%2f1774088.1774148&amp;partnerID=40&amp;md5=9817dd0604f2097b6a929f5f14177364</t>
  </si>
  <si>
    <t>Buchmann E.; Hauser S.</t>
  </si>
  <si>
    <t>Buchmann, Erik (23766159600); Hauser, Serda (57201633115)</t>
  </si>
  <si>
    <t>23766159600; 57201633115</t>
  </si>
  <si>
    <t>Text Mining for Standardized Quality Criteria of Natural-Language IT-Requirements</t>
  </si>
  <si>
    <t>Without a precise specification, an IT project might not remain on time and on budget constraints, or it might lead to a different outcome than desired. A number of established standards define how requirements must be written to avoid such issues. This paper describes our ongoing work to derive a comprehensive set of standardized criteria that IT-requirements must meet in accordance with IEEE 1233-1996 and ISO/IEC/IEEE 29148-2011. We also use a text-mining approach to identify IT-requirements that violate these standards. Our preliminary results are promising: In our biased dataset, we can use text features that are easy to compute, to filter out requirements that do not comply with the standards. Our beneficiaries are auditors, developers, Scrum teams, customers and other stakeholders whose projects are highly dependent on extensive IT-requirements specification.  © 2021 IEEE.</t>
  </si>
  <si>
    <t>10.1109/RE51729.2021.00043</t>
  </si>
  <si>
    <t>https://www.scopus.com/inward/record.uri?eid=2-s2.0-85123180307&amp;doi=10.1109%2fRE51729.2021.00043&amp;partnerID=40&amp;md5=8670862bab6ca21a177b5fb715f7bf6b</t>
  </si>
  <si>
    <t>Carlson N.; Laplante P.</t>
  </si>
  <si>
    <t>Carlson, Nathan (55848317600); Laplante, Phil (7005498946)</t>
  </si>
  <si>
    <t>55848317600; 7005498946</t>
  </si>
  <si>
    <t>The NASA automated requirements measurement tool: A reconstruction</t>
  </si>
  <si>
    <t>In the late 1990s the National Aeronautics and Space Administration (NASA) Software Assurance Technology Center (SATC) developed a tool to automatically analyze a requirements document and produce a detailed quality report. The report was based on statistical analysis of word frequencies at various structural levels of the document. The Automated Requirements Measurement (ARM) tool was further enhanced to include additional functionality such as custom definitions of quality indicators inputs for document analysis. By 2011 work on the ARM tool was discontinued. This paper describes the reverse-engineering and reproduction of the functionality of ARM. Recreating the functionality of this tool yielded valuable insight into certain quality metrics and provides a benchmark tool for future research. In addition to recreating and working with the ARM tool, this paper explores both existing and potential definitions of quality metrics in requirements specifications. Automated requirements analysis is a convergence of various fields of research, including text mining, quality analysis, and natural language processing. Informed by tangential areas of research in document understanding and data mining, recommendations are made for future areas of research and development in automated requirements analysis. © 2013 Springer-Verlag London.</t>
  </si>
  <si>
    <t>Innovations in Systems and Software Engineering</t>
  </si>
  <si>
    <t>10.1007/s11334-013-0225-8</t>
  </si>
  <si>
    <t>https://www.scopus.com/inward/record.uri?eid=2-s2.0-84900478117&amp;doi=10.1007%2fs11334-013-0225-8&amp;partnerID=40&amp;md5=6383792c56ec40a2ae076e5512457319</t>
  </si>
  <si>
    <t>Çevikol S.; Aydemir F.B.</t>
  </si>
  <si>
    <t>Çevikol, Sercan (57209531783); Aydemir, Fatma Başak (55880322200)</t>
  </si>
  <si>
    <t>57209531783; 55880322200</t>
  </si>
  <si>
    <t>Detecting inconsistencies of natural language requirements in satellite ground segment domain</t>
  </si>
  <si>
    <t>The ground segment constitutes the ground–based infrastructure necessary to support the operations of satellites, including the control of the spacecraft in orbit, and the acquisition, reception, processing and delivery of the data. Since the ground segment is one of the essential elements in satellite operations, the quality of the requirements are critically important for the success of the satellite missions. Similar to many other large-scale systems, requirements for the ground segment are documented in natural language, making them prone to ambiguity and vagueness, and making it difficult to check properties such as completeness and consistency. Due to these shortcomings, the review process of the requirements is expensive in terms of time and effort. Our aim is to provide automated support for detecting inconsistencies in the ground segment requirements. Our approach relies on natural language processing and machine learning techniques. Our plan is to validate our work on a real ground segment requirement set. Copyright © 2019 by the paper’s authors.</t>
  </si>
  <si>
    <t>2376</t>
  </si>
  <si>
    <t>https://www.scopus.com/inward/record.uri?eid=2-s2.0-85068025155&amp;partnerID=40&amp;md5=384f8ee4f14752fa851d41ceda7285ed</t>
  </si>
  <si>
    <t>Challa H.; Niu N.; Johnson R.</t>
  </si>
  <si>
    <t>Challa, Harshitha (57219432900); Niu, Nan (36856329200); Johnson, Reese (36863894500)</t>
  </si>
  <si>
    <t>57219432900; 36856329200; 36863894500</t>
  </si>
  <si>
    <t>Faulty Requirements Made Valuable: On the Role of Data Quality in Deep Learning</t>
  </si>
  <si>
    <t>Large collections of data help evolve deep learning into the state-of-the-art in solving many artificial intelligence problems. However, the requirements engineering (RE) community has yet to adapt to such sweeping changes caused exclusively by data. One reason is that the traditional requirements quality like unambiguity becomes less applicable to data, and so do requirements fault detection techniques like inspections. In this paper, we view deep learning as a class of machines whose effects must be evaluated with direct consideration of inherent data quality attributes: accuracy, consistency, currentness, etc. We substantiate this view by altering stationarity of the multivariate time-series data, and by further analyzing how the stationarity changes affect the behavior of a recurrent neural network in the context of predicting combined sewer overflow. Our work sheds light on the active role RE plays in deep learning.  © 2020 IEEE.</t>
  </si>
  <si>
    <t>Proceedings - 7th International Workshop on Artificial Intelligence and Requirements Engineering, AIRE 2020</t>
  </si>
  <si>
    <t>9233033</t>
  </si>
  <si>
    <t>10.1109/AIRE51212.2020.00016</t>
  </si>
  <si>
    <t>https://www.scopus.com/inward/record.uri?eid=2-s2.0-85096952768&amp;doi=10.1109%2fAIRE51212.2020.00016&amp;partnerID=40&amp;md5=6eccfa18255a0c1c27cb237175400bcc</t>
  </si>
  <si>
    <t>Charaf M.C.</t>
  </si>
  <si>
    <t>Charaf, Marianne Corvera (55501904100)</t>
  </si>
  <si>
    <t>55501904100</t>
  </si>
  <si>
    <t>Language quality in information systems development - analyzing the emergence of requirements in natural language processes</t>
  </si>
  <si>
    <t>A central challenge in information systems development (ISD) is the question how meaningful and coherent requirements can be developed as a consensual result of the interaction between analysts and clients. As language-based communication is the main venue for the system's conceptualization, we assume that the understanding of how requirements emerge on the micro level of interaction is of critical importance. We claim that the quality of the communication between the different stakeholders depends on the ability to manage the question of how people deal with language in practice and reach consensus in the concrete ISD process. Therefore, in this paper we adapt the concept of quality to the question of how a common language is built in the ISD process. After defining a set of reasonable language quality dimensions, we apply our results to concrete observation cases from an ISD project and obtain insight beneficial to researchers and practitioners alike.</t>
  </si>
  <si>
    <t>16th Americas Conference on Information Systems 2010, AMCIS 2010</t>
  </si>
  <si>
    <t>https://www.scopus.com/inward/record.uri?eid=2-s2.0-84870395548&amp;partnerID=40&amp;md5=db45a401a2b95db12303593a8d776670</t>
  </si>
  <si>
    <t>Chattopadhyay A.; Malla G.; Niu N.; Bhowmik T.; Savolainen J.</t>
  </si>
  <si>
    <t>Chattopadhyay, Aurek (57223318101); Malla, Ganesh (36598712900); Niu, Nan (36856329200); Bhowmik, Tanmay (57679627000); Savolainen, Juha (7006429460)</t>
  </si>
  <si>
    <t>57223318101; 36598712900; 36856329200; 57679627000; 7006429460</t>
  </si>
  <si>
    <t>Completeness of Natural Language Requirements: A Comparative Study of User Stories and Feature Descriptions</t>
  </si>
  <si>
    <t>Checking the completeness of requirements is critical for software validation, as incomplete requirements can adversely affect the delivery of high-quality software within budget. Many existing methods rely on the domain model that defines the correct and relevant constructs, against which the requirements completeness is checked. However, building accurate and updated domain models requires considerable human effort, which is often challenging in practical settings. To operate in the absence of domain models, we propose to measure a textual requirement's completeness based on a universal linguistic theory, namely Fillmore's frame semantics. Our approach treats the frame elements (FEs) associated with a requirement's verb as the roles that should participate in the syntactic structure evoked by the verb. The FEs thus give rise to a linguistic measure of completeness, through which we compute a requirement's actual completeness. Using our linguistic-theoretic approach allows for a fully automatic completeness check of different real-world requirements. The comparisons show that our studied feature descriptions are more complete than user stories. © 2023 IEEE.</t>
  </si>
  <si>
    <t>Proceedings - 2023 IEEE 24th International Conference on Information Reuse and Integration for Data Science, IRI 2023</t>
  </si>
  <si>
    <t>10.1109/IRI58017.2023.00017</t>
  </si>
  <si>
    <t>https://www.scopus.com/inward/record.uri?eid=2-s2.0-85171863424&amp;doi=10.1109%2fIRI58017.2023.00017&amp;partnerID=40&amp;md5=284a0fe8e0e6ef301e4c209a8385baf6</t>
  </si>
  <si>
    <t>Chatzipetrou P.; Unterkalmsteiner M.; Gorschek T.</t>
  </si>
  <si>
    <t>Chatzipetrou, Panagiota (36629991200); Unterkalmsteiner, Michael (36245433300); Gorschek, Tony (6507952308)</t>
  </si>
  <si>
    <t>36629991200; 36245433300; 6507952308</t>
  </si>
  <si>
    <t>Requirements' Characteristics: How do they Impact on Project Budget in a Systems Engineering Context?</t>
  </si>
  <si>
    <t>Background: Requirements engineering is of a principal importance when starting a new project. However, the number of the requirements involved in a single project can reach up to thousands. Controlling and assuring the quality of natural language requirements (NLRs), in these quantities, is challenging. Aims: In a field study, we investigated with the Swedish Transportation Agency (STA) to what extent the characteristics of requirements had an influence on change requests and budget changes in the project. Method: We choose the following models to characterize system requirements formulated in natural language: Concern-based Model of Requirements (CMR), Requirements Abstractions Model (RAM) and Software-Hardware model (SHM). The classification of the NLRs was conducted by the three authors. The robust statistical measure Fleiss' Kappa was used to verify the reliability of the results. We used descriptive statistics, contingency tables, results from the Chi-Square test of association along with post hoc tests. Finally, a multivariate statistical technique, Correspondence analysis was used in order to provide a means of displaying a set of requirements in two-dimensional graphical form. Results: The results showed that software requirements are associated with less budget cost than hardware requirements. Moreover, software requirements tend to stay open for a longer period indicating that they are 'harder' to handle. Finally, the more discussion or interaction on a change request can lower the actual estimated change request cost. Conclusions: The results lead us to a need to further investigate the reasons why the software requirements are treated differently from the hardware requirements, interview the project managers, understand better the way those requirements are formulated and propose effective ways of Software management. © 2019 IEEE.</t>
  </si>
  <si>
    <t>Proceedings - 45th Euromicro Conference on Software Engineering and Advanced Applications, SEAA 2019</t>
  </si>
  <si>
    <t>8906725</t>
  </si>
  <si>
    <t>10.1109/SEAA.2019.00048</t>
  </si>
  <si>
    <t>https://www.scopus.com/inward/record.uri?eid=2-s2.0-85076017569&amp;doi=10.1109%2fSEAA.2019.00048&amp;partnerID=40&amp;md5=f3999b359c71add41d2500ff9d1d2569</t>
  </si>
  <si>
    <t>Chatzipetrou, P.; Unterkalmsteiner, M.; Gorschek, T</t>
  </si>
  <si>
    <t>Chatzipetrou, Panagiota; Unterkalmsteiner, Michael; Gorschek, Tony</t>
  </si>
  <si>
    <t>Requirements’ Characteristics: How do they Impact on Project Budget in a Systems Engineering Context?</t>
  </si>
  <si>
    <t>2019 45th Euromicro Conference on Software Engineering and Advanced Applications (SEAA)</t>
  </si>
  <si>
    <t>10.1109/seaa.2019.00048</t>
  </si>
  <si>
    <t>http://dx.doi.org/10.1109/SEAA.2019.00048</t>
  </si>
  <si>
    <t>Cherukuri H.; Ferrari A.; Spoletini P.</t>
  </si>
  <si>
    <t>Cherukuri, Himaja (57551119300); Ferrari, Alessio (55765001561); Spoletini, Paola (14046113800)</t>
  </si>
  <si>
    <t>57551119300; 55765001561; 14046113800</t>
  </si>
  <si>
    <t>Towards Explainable Formal Methods: From LTL to Natural Language with Neural Machine Translation</t>
  </si>
  <si>
    <t>[Context and motivation] Requirements formalisation facilitates reasoning about inconsistencies, detection of ambiguities, and identification critical issues in system models. Temporal logic formulae are the natural choice when it comes to formalise requirements associated to desired system behaviours. [Question/problem] Understanding and mastering temporal logic requires a formal background. Means are therefore needed to make temporal logic formulae interpretable by engineers, domain experts and other stakeholders involved in the development process. [Principal ideas/results] In this paper, we propose to use a neural machine translation tool, named OpenNMT, to translate Linear Temporal Logic (LTL) formulae into corresponding natural language descriptions. Our results show that the translation system achieves an average BLEU (BiLingual Evaluation Understudy) score of 93.53%, which corresponds to high-quality translations. [Contribution] Our neural model can be applied to assess if requirements have been correctly formalised. This can be useful to requirements analysts, who may have limited confidence with LTL, and to other stakeholders involved in the requirements verification process. Overall, our research preview contributes to bridging the gap between formal methods and requirements engineering, and opens to further research in explainable formal methods. © 2022, Springer Nature Switzerland AG.</t>
  </si>
  <si>
    <t>10.1007/978-3-030-98464-9_7</t>
  </si>
  <si>
    <t>https://www.scopus.com/inward/record.uri?eid=2-s2.0-85127071136&amp;doi=10.1007%2f978-3-030-98464-9_7&amp;partnerID=40&amp;md5=ba5bdc952cd20a8ad2688192f2dc504c</t>
  </si>
  <si>
    <t>Chuprina, T.; Méndez, D.; Nigam, V.; Reich, M.; Schweiger, A.</t>
  </si>
  <si>
    <t>Chuprina, Tatiana; Méndez, Daniel; Nigam, Vivek; Reich, Marina; Schweiger, Andreas</t>
  </si>
  <si>
    <t>Towards an Approach to Pattern-based Domain-Specific Requirements Engineering</t>
  </si>
  <si>
    <t>Requirements specification patterns have received much attention as they promise to guide the structured specification of natural language requirements. By using them, the intention is to reduce quality problems related to requirements artifacts. Patterns may need to vary in their syntax (e.g. domain details/ parameter incorporation) and semantics according to the particularities of the application domain. However, pattern-based approaches, such as EARS, are designed domain-independently to facilitate their wide adoption across several domains. Little is yet known about how to adopt the principle idea of pattern-based requirements engineering to cover domain-specificity in requirements engineering and, ideally, integrate requirements engineering activities into quality assurance tasks. In this paper, we propose the Pattern-based Domain-specific Requirements Engineering Approach for the specification of functional and performance requirements in a holistic manner. This approach emerges from an academia-industry collaboration and is our first attempt to frame an approach which allows for analyzing domain knowledge and incorporating it into the requirements engineering process enabling automated checks for requirements quality assurance and computer-aided support for system verification. Our contribution is two-fold: First, we present a solution to pattern-based domain-specific requirements engineering and its exemplary integration into quality assurance techniques. Second, we showcase a proof of concept using a tool implementation for the domain of flight controllers for Unmanned Aerial Vehicles. Both shall allow us to outline next steps in our research agenda and foster discussions in this direction.</t>
  </si>
  <si>
    <t>10.48550/arXiv.2404.17338</t>
  </si>
  <si>
    <t>https://arxiv.org/abs/2404.17338v1</t>
  </si>
  <si>
    <t>Ciemniewska A.; Jurkiewicz J.; Olek Ł.; Nawrocki J.</t>
  </si>
  <si>
    <t>Ciemniewska, Alicja (23388408200); Jurkiewicz, Jakub (23390049500); Olek, Łukasz (56636755000); Nawrocki, Jerzy (56382113500)</t>
  </si>
  <si>
    <t>23388408200; 23390049500; 56636755000; 56382113500</t>
  </si>
  <si>
    <t>Supporting use-case reviews</t>
  </si>
  <si>
    <t>Use cases are a popular way of specifying functional requirements of computer-based systems. Each use case contains a sequence of steps which are described with a natural language. Use cases, as any other description of functional requirements, must go through a review process to check their quality. The problem is that such reviews are time consuming. Moreover, effectiveness of a review depends on quality of the submitted document - if a document contains many easy-to-detect defects, then reviewers tend to find those simple defects and they feel exempted from working hard to detect difficult defects. To solve the problem it is proposed to augment a requirements management tool with a detector that would find easy-to-detect defects automatically. © Springer-Verlag Berlin Heidelberg 2007.</t>
  </si>
  <si>
    <t>4439 LNCS</t>
  </si>
  <si>
    <t>10.1007/978-3-540-72035-5_33</t>
  </si>
  <si>
    <t>https://www.scopus.com/inward/record.uri?eid=2-s2.0-38049065135&amp;doi=10.1007%2f978-3-540-72035-5_33&amp;partnerID=40&amp;md5=a42d0a691016d6a7d4d2687a31c454e3</t>
  </si>
  <si>
    <t>Corral A.; Sanchez L.E.; Antonelli L.</t>
  </si>
  <si>
    <t>Corral, Alexandra (57196238343); Sanchez, Luis E. (58037788800); Antonelli, Leandro (35279166900)</t>
  </si>
  <si>
    <t>57196238343; 58037788800; 35279166900</t>
  </si>
  <si>
    <t>Building an integrated requirements engineering process based on Intelligent Systems and Semantic Reasoning on the basis of a systematic analysis of existing proposals</t>
  </si>
  <si>
    <t>Requirements Engineering is one of the fundamental activities in the software development process and is oriented toward what should be produced. One of the development team’s most common problems is a lack of communication regarding an understanding of the discourse domain and how to integrate and process excessive information originating from different sources. This may lead to errors of omission and the consequent production of incomplete and inconsistent artifacts, which will have a direct effect on the quality of the software. The use of machine learning techniques helps the development team produce successful software on the basis of the acquisition of knowledge and human experience with which to understand the domain of the application. This paper, therefore, presents a proposal for a new methodological process oriented toward the construction of a vocabulary concerning the application domain. The authors propose to do this by employing Natural Language Processing (NLP), ontologies and heuristics that will lead to the production of a Lexicon that is common to analysts and customers, both of whom will understand the universe of discourse, thus mitigating problems of completeness. This objective has been achieved by carrying out a Systematic Literature Review of the artificial intelligence techniques employed in the requirements engineering process, which led to the discovery that 41.37% use NLP, while 55.71% apply ontologies such as semantic reasoners which help solve the problem of language ambiguity, the structures in specifications or the identification of key concepts with which to establish traceability links. However, the review also showed that the problems regarding the comprehension and completeness of requirements problems have yet to be resolved. © 2022, IICM. All rights reserved.</t>
  </si>
  <si>
    <t>Journal of Universal Computer Science</t>
  </si>
  <si>
    <t>28</t>
  </si>
  <si>
    <t>11</t>
  </si>
  <si>
    <t>10.3897/jucs.78776</t>
  </si>
  <si>
    <t>https://www.scopus.com/inward/record.uri?eid=2-s2.0-85173923317&amp;doi=10.3897%2fjucs.78776&amp;partnerID=40&amp;md5=c2ab83a6c7787b2c8835af46bee200be</t>
  </si>
  <si>
    <t>Cosler M.; Hahn C.; Mendoza D.; Schmitt F.; Trippel C.</t>
  </si>
  <si>
    <t>Cosler, Matthias (58141351200); Hahn, Christopher (57193313287); Mendoza, Daniel (57217592655); Schmitt, Frederik (57222629250); Trippel, Caroline (57160149300)</t>
  </si>
  <si>
    <t>58141351200; 57193313287; 57217592655; 57222629250; 57160149300</t>
  </si>
  <si>
    <t>nl2spec: Interactively Translating Unstructured Natural Language to Temporal Logics with Large Language Models</t>
  </si>
  <si>
    <t>A rigorous formalization of desired system requirements is indispensable when performing any verification task. This often limits the application of verification techniques, as writing formal specifications is an error-prone and time-consuming manual task. To facilitate this, we present nl2spec, a framework for applying Large Language Models (LLMs) to derive formal specifications (in temporal logics) from unstructured natural language. In particular, we introduce a new methodology to detect and resolve the inherent ambiguity of system requirements in natural language: we utilize LLMs to map subformulas of the formalization back to the corresponding natural language fragments of the input. Users iteratively add, delete, and edit these sub-translations to amend erroneous formalizations, which is easier than manually redrafting the entire formalization. The framework is agnostic to specific application domains and can be extended to similar specification languages and new neural models. We perform a user study to obtain a challenging dataset, which we use to run experiments on the quality of translations. We provide an open-source implementation, including a web-based frontend. © 2023, The Author(s).</t>
  </si>
  <si>
    <t>13965 LNCS</t>
  </si>
  <si>
    <t>10.1007/978-3-031-37703-7_18</t>
  </si>
  <si>
    <t>https://www.scopus.com/inward/record.uri?eid=2-s2.0-85172279049&amp;doi=10.1007%2f978-3-031-37703-7_18&amp;partnerID=40&amp;md5=da4ca72272ab67781d4b7a02d3bf8273</t>
  </si>
  <si>
    <t>Cosler, M.; Hahn, C.; Mendoza, D.; Schmitt, F.; Trippel, C.</t>
  </si>
  <si>
    <t>Cosler, Matthias; Hahn, Christopher; Mendoza, Daniel; Schmitt, Frederik; Trippel, Caroline</t>
  </si>
  <si>
    <t>nl2spec: Interactively Translating Unstructured Natural Language to Temporal Logics with Large Language Models</t>
  </si>
  <si>
    <t>10.48550/arXiv.2303.04864</t>
  </si>
  <si>
    <t>https://arxiv.org/abs/2303.04864v1</t>
  </si>
  <si>
    <t>Cox K.; Phalp K.</t>
  </si>
  <si>
    <t>Cox, Karl (7202526021); Phalp, Keith (6603046847)</t>
  </si>
  <si>
    <t>7202526021; 6603046847</t>
  </si>
  <si>
    <t>Replicating the CREWS use case authoring guidelines experiment</t>
  </si>
  <si>
    <t>Use cases have become an important tool in software engineering. There has been much focus on the diagram notation but relatively little on use-case descriptions. As part of a welcome and important research project into the use of scenarios in requirements engineering, the CREWS (Co-operative Requirements Engineering With Scenarios, an EU funded ESPRIT project 21903) team has proposed a set of guidelines for writing use-case descriptions. This paper describes the replication of a CREWS project experiment that suggests CREWS use-case authoring guidelines improve the completeness of use-case descriptions. Our results show that the CREWS guidelines do not necessarily improve the use-case descriptions, only that the subjects implemented varying numbers of guidelines in their use-case descriptions. Subjects in the control group implemented a significant percentage of the guidelines by 'chance'. To further justify our results, we also apply a different marking scheme to compare with the CREWS approach. The results from the alternative marking approach show that there was no significant difference between the qualities of the use-case descriptions across the various groups.</t>
  </si>
  <si>
    <t>Empirical Software Engineering</t>
  </si>
  <si>
    <t>5</t>
  </si>
  <si>
    <t>3</t>
  </si>
  <si>
    <t>10.1023/A:1026542700033</t>
  </si>
  <si>
    <t>https://www.scopus.com/inward/record.uri?eid=2-s2.0-0034316468&amp;doi=10.1023%2fA%3a1026542700033&amp;partnerID=40&amp;md5=772ac203bc0995b6a65c90db6b6276fc</t>
  </si>
  <si>
    <t>Cunha C.; Oliveira R.; Duarte R.</t>
  </si>
  <si>
    <t>Cunha, Carlos (39361170900); Oliveira, Rafael (59100352700); Duarte, Rui (14059938600)</t>
  </si>
  <si>
    <t>39361170900; 59100352700; 14059938600</t>
  </si>
  <si>
    <t>Agile-based Requirements Engineering for Machine Learning: A Case Study on Personalized Nutrition</t>
  </si>
  <si>
    <t>Requirements engineering is crucial in developing machine learning systems, as it establishes the foundation for successful project execution. Nevertheless, incorporating requirements engineering approaches from traditional software engineering into machine learning projects presents new challenges. These challenges arise from replacing the software logic derived from static software specifications with dynamic software logic derived from data. This paper presents a case study exploring an agile requirement engineering approach popular in traditional software projects to specify requirements in machine learning software. These requirements allow reasoning about the correctness of software and design tests for validation. The absence of software specification in machine learning software is offset by employing data quality metrics, which are assessed using cutting-edge methods for model interpretability. A case study on personalized nutrition and physical activity demonstrated the adequacy of user stories and acceptance criteria format, popular in agile projects, for specifying requirements in the machine learning domain. © 2024, Ismail Saritas. All rights reserved.</t>
  </si>
  <si>
    <t>International Journal of Intelligent Systems and Applications in Engineering</t>
  </si>
  <si>
    <t>12</t>
  </si>
  <si>
    <t>https://www.scopus.com/inward/record.uri?eid=2-s2.0-85185938827&amp;partnerID=40&amp;md5=5aa0448b735205f538419f44bb3e10b8</t>
  </si>
  <si>
    <t>da Silva A.R.</t>
  </si>
  <si>
    <t>da Silva, Alberto Rodrigues (57998870700)</t>
  </si>
  <si>
    <t>57998870700</t>
  </si>
  <si>
    <t>Linguistic Patterns, Styles, and Guidelines for Writing Requirements Specifications: Focus on Use Cases and Scenarios</t>
  </si>
  <si>
    <t>A system requirements specification is a technical document extensively used during the respective system life cycle. It gathers the concerns and needs of various stakeholders, describes the common vision of that system, and therefore supports its development and operation processes. The popular form to write requirements specifications is with natural languages that, however, exhibit characteristics that often introduce quality problems, such as inconsistency, incompleteness, and vagueness, which shall be mitigated or avoided to some extent. This paper is part of a series of papers that have discussed linguistic patterns and linguistic styles to produce technical documentation more systematically and consistently. Specifically, this paper proposes a cohesive set of patterns and styles to better write use cases and scenarios. It also presents 38 practical guidelines and supports the discussion with concrete pedagogical examples represented with different styles, namely: visual use cases diagram (UML), a rigorous requirements specification language (RSL), and two informal controlled natural languages, one with a compact (CNL-A) and another with a more complete and verbose writing style (CNL-B). We conducted a pilot evaluation session with 24 subjects who provided encouraging feedback, with positive scores in all the analyzed dimensions. Based on this feedback, we may conclude that the adoption of these patterns, styles, and guidelines would help to produce better requirements specifications, written more systematically and consistently. © 2021 Institute of Electrical and Electronics Engineers Inc.. All rights reserved.</t>
  </si>
  <si>
    <t>IEEE Access</t>
  </si>
  <si>
    <t>9</t>
  </si>
  <si>
    <t>10.1109/ACCESS.2021.3120004</t>
  </si>
  <si>
    <t>https://www.scopus.com/inward/record.uri?eid=2-s2.0-85117778973&amp;doi=10.1109%2fACCESS.2021.3120004&amp;partnerID=40&amp;md5=9466103c1e365ffffd5b1783274dabfe</t>
  </si>
  <si>
    <t>Dalpiaz F.; Brinkkemper S.</t>
  </si>
  <si>
    <t>Dalpiaz, Fabiano (24400635100); Brinkkemper, Sjaak (15043525500)</t>
  </si>
  <si>
    <t>24400635100; 15043525500</t>
  </si>
  <si>
    <t>Agile Requirements Engineering: From User Stories to Software Architectures</t>
  </si>
  <si>
    <t>Most agile practitioners employ user stories for capturing requirements, also thanks to the embedding of this notation within development and project management tools. Among user story users, circa 70% follow a simple template: As a role, I want to action, so that benefit. User stories' popularity among practitioners and their template-based structure make them ideal candidates for the application of natural language processing techniques. In our research, we have found that circa 50% of real-world user stories contain easily preventable linguistic defects. To mitigate this problem, we have created tool-supported methods that facilitate the creation of better user stories. This tutorial combines previous work of the RE-Lab@UU into a pipeline for working with user stories: (1) The basics of creating user stories and their use in requirements engineering; (2) How to improve user story quality with the Quality User Story Framework and the AQUSA tool; (3) How to generate conceptual models from user stories using the Visual Narrator tool and analyze them for possible ambiguity and inconsistency; and (4) How to link requirements to architectures via the RE4SA model. Our approach is demonstrated with results obtained from 20+ software companies employing user stories.  © 2021 IEEE.</t>
  </si>
  <si>
    <t>10.1109/RE51729.2021.00076</t>
  </si>
  <si>
    <t>https://www.scopus.com/inward/record.uri?eid=2-s2.0-85123214884&amp;doi=10.1109%2fRE51729.2021.00076&amp;partnerID=40&amp;md5=a68195906d72244590a503b7d2be6a4b</t>
  </si>
  <si>
    <t>Dalpiaz F.; van der Schalk I.; Lucassen G.</t>
  </si>
  <si>
    <t>Dalpiaz, Fabiano (24400635100); van der Schalk, Ivor (57194279647); Lucassen, Garm (55320535500)</t>
  </si>
  <si>
    <t>24400635100; 57194279647; 55320535500</t>
  </si>
  <si>
    <t>Pinpointing ambiguity and incompleteness in requirements engineering via information visualization and NLP</t>
  </si>
  <si>
    <t>[Context and motivation] Identifying requirements defects such as ambiguity and incompleteness is an important and challenging task in requirements engineering (RE). [Question/Problem] We investigate whether combining humans’ cognitive and analytical capabilities with automated reasoning is a viable method to support the identification of requirements quality defects. [Principal ideas/results] We propose a tool-supported approach for pinpointing terminological ambiguities between viewpoints as well as missing requirements. To do so, we blend natural language processing (conceptual model extraction and semantic similarity) with information visualization techniques that help interpret the type of defect. [Contribution] Our approach is a step forward toward the identification of ambiguity and incompleteness in a set of requirements, still an open issue in RE. A quasi-experiment with students, aimed to assess whether our tool delivers higher accuracy than manual inspection, suggests a significantly higher recall but does not reveal significant differences in precision. © Springer International Publishing AG, part of Springer Nature 2018.</t>
  </si>
  <si>
    <t>10.1007/978-3-319-77243-1_8</t>
  </si>
  <si>
    <t>https://www.scopus.com/inward/record.uri?eid=2-s2.0-85043375447&amp;doi=10.1007%2f978-3-319-77243-1_8&amp;partnerID=40&amp;md5=26bc6432d6acef64a78637cc781f86bd</t>
  </si>
  <si>
    <t>Daramola O.; Stålhane T.; Sindre G.; Omoronyia I.</t>
  </si>
  <si>
    <t>Daramola, Olawande (36102361100); Stålhane, Tor (8693760700); Sindre, Guttorm (6603548009); Omoronyia, Inah (24477574000)</t>
  </si>
  <si>
    <t>36102361100; 8693760700; 6603548009; 24477574000</t>
  </si>
  <si>
    <t>Enabling hazard identification from requirements and reuse-oriented HAZOP analysis</t>
  </si>
  <si>
    <t>The capability to identify potential system hazards and operability problems, and to recommend appropriate mitigation mechanisms is vital to the development of safety critical embedded systems. Hazard and Operability (HAZOP) analysis which is mostly used to achieve these objectives is a complex and largely human-centred process, and increased tool support could reduce costs and improve quality. This work presents a framework and tool prototype that facilitates the early identification of potential system hazards from requirements and the reuse of previous experience for conducting HAZOP. The results from the preliminary evaluation of the tool suggest its potential viability for application in real industrial context. © 2011 IEEE.</t>
  </si>
  <si>
    <t>2011 4th International Workshop on Managing Requirements Knowledge, MaRK'11 - Part of the 19th IEEE International Requirements Engineering Conference, RE'11</t>
  </si>
  <si>
    <t>6046555</t>
  </si>
  <si>
    <t>10.1109/MARK.2011.6046555</t>
  </si>
  <si>
    <t>https://www.scopus.com/inward/record.uri?eid=2-s2.0-80555133313&amp;doi=10.1109%2fMARK.2011.6046555&amp;partnerID=40&amp;md5=85fb32333dc379fae63c36575489285a</t>
  </si>
  <si>
    <t>Dargan J.L.; Campos-Nanez E.; Fomin P.; Wasek J.</t>
  </si>
  <si>
    <t>Dargan, John L. (6507793639); Campos-Nanez, Enrique (6507180287); Fomin, Pavel (48561043100); Wasek, James (35590958100)</t>
  </si>
  <si>
    <t>6507793639; 6507180287; 48561043100; 35590958100</t>
  </si>
  <si>
    <t>Predicting systems performance through requirements quality attributes model</t>
  </si>
  <si>
    <t>Poor requirements definition can adversely impact system cost and performance for government acquisition programs. This can be mitigated by ensuring requirements statements are written in a clear and unambiguous manner that reflects high linguistic quality. This paper introduces a statistical model that uses requirements quality factors to predict system operational performance. This model is created using empirical data from current major acquisition programs within the federal government. Operational Requirements Documents and Operational Test Reports are the data sources, respectively, for the system requirements statements and the accompanying operational test results used for model development. A commercial-off-the-shelf requirements quality analysis tool is used to determine the linguistic quality metrics for the requirements statements. Following model construction, cross validation of the data is employed to confirm the predictive value of the model. In all, the results establish that requirements quality is indeed a predictive factor for end system operational performance; and the resulting statistical model can inform requirements decisions based on likelihood of successful operational performance. © 2014 the Authors. Published by Elsevier B.V.</t>
  </si>
  <si>
    <t>Procedia Computer Science</t>
  </si>
  <si>
    <t>10.1016/j.procs.2014.03.043</t>
  </si>
  <si>
    <t>https://www.scopus.com/inward/record.uri?eid=2-s2.0-84898009083&amp;doi=10.1016%2fj.procs.2014.03.043&amp;partnerID=40&amp;md5=3e2fc30a1954ec0a36591ee82f489db3</t>
  </si>
  <si>
    <t>Dargan J.L.; Wasek J.S.; Campos-Nanez E.</t>
  </si>
  <si>
    <t>Dargan, John L. (6507793639); Wasek, James S. (35590958100); Campos-Nanez, Enrique (6507180287)</t>
  </si>
  <si>
    <t>6507793639; 35590958100; 6507180287</t>
  </si>
  <si>
    <t>Systems performance prediction using requirements quality attributes classification</t>
  </si>
  <si>
    <t>Poor requirements definition can adversely impact system cost and performance for government acquisition programs. This can be mitigated by ensuring requirements statements are written in a clear and unambiguous manner with high linguistic quality. This paper introduces a statistical model that uses requirements quality factors to predict system operational performance. This work explores four classification techniques (Logistic Regression, Naïve Bayes Classifier, Support Vector Machine, and K-Nearest Neighbor) to develop the predictive model. This model is created using empirical data from current major acquisition programs within the federal government. Operational Requirements Documents and Operational Test Reports are the data sources, respectively, for the system requirements statements and the accompanying operational test results used for model development. A commercial-off-the-shelf requirements quality analysis tool is used to determine the requirements linguistic quality metrics used in the model. Subsequent to model construction, the predictive value of the model is confirmed through execution of a sensitivity analysis, cross-validation of the data, and an overfitting analysis. Lastly, Receiver Operating Characteristics are examined to determine the best performing model. In all, the results establish that requirements quality is indeed a predictive factor for end-system operational performance, and the resulting statistical model can influence requirements development based on likelihood of successful operational performance. © 2015, Springer-Verlag London.</t>
  </si>
  <si>
    <t>Requirements Engineering</t>
  </si>
  <si>
    <t>21</t>
  </si>
  <si>
    <t>4</t>
  </si>
  <si>
    <t>10.1007/s00766-015-0232-4</t>
  </si>
  <si>
    <t>https://www.scopus.com/inward/record.uri?eid=2-s2.0-84936816619&amp;doi=10.1007%2fs00766-015-0232-4&amp;partnerID=40&amp;md5=203c7da8e78c6799c85feddbf3013bc3</t>
  </si>
  <si>
    <t>De Almeida Ferreira D.; Da Silva A.R.</t>
  </si>
  <si>
    <t>De Almeida Ferreira, David (56379655000); Da Silva, Alberto Rodrigues (57998870700)</t>
  </si>
  <si>
    <t>56379655000; 57998870700</t>
  </si>
  <si>
    <t>RSL-IL: An interlingua for formally documenting requirements</t>
  </si>
  <si>
    <t>Despite being the most suitable language to communicate requirements, the intrinsic ambiguity of natural language often undermines requirements quality criteria, specially clearness and consistency. Several proposals have been made to increase the rigor of requirements representations through conceptual models, which encompass different perspectives to completely describe the system. However, this multi-representation strategy warrants significant human effort to produce and reuse such models, as well as to enforce their consistency. This paper presents RSL-IL, a Requirements Specification Language that tackles the requirements formalization problem by providing a minimal set of constructs. To cope with the most typical Requirements Engineering concerns, RSL-IL constructs are internally organized into viewpoints. Since these constructs are tightly integrated, RSL-IL enables the representation of requirements in a way that makes them formal enough for being tractable by a computer. Given that RSL-IL provides a stable intermediate representation that can improve the quality and enables requirements reuse, it can be regarded as a requirements interlingua. Also, RSL-IL can be used as a source language within the context of model-to-model transformations to produce specific conceptual models. To illustrate how RSL-IL can be applied in a real project, this paper provides a running example based on a case study. © 2013 IEEE.</t>
  </si>
  <si>
    <t>2013 3rd International Workshop on Model-Driven Requirements Engineering, MoDRE 2013 - Proceedings</t>
  </si>
  <si>
    <t>6597262</t>
  </si>
  <si>
    <t>10.1109/MoDRE.2013.6597262</t>
  </si>
  <si>
    <t>https://www.scopus.com/inward/record.uri?eid=2-s2.0-84885620414&amp;doi=10.1109%2fMoDRE.2013.6597262&amp;partnerID=40&amp;md5=923e8e2a50638f76efb4195ac9175cef</t>
  </si>
  <si>
    <t>de Biase, M. S.; Marrone, S.; Palladino, A.</t>
  </si>
  <si>
    <t>de Biase, Maria Stella; Marrone, Stefano; Palladino, Angelo</t>
  </si>
  <si>
    <t>Towards Automatic Model Completion: from Requirements to SysML State Machines</t>
  </si>
  <si>
    <t>10.48550/arXiv.2210.03388</t>
  </si>
  <si>
    <t>https://arxiv.org/abs/2210.03388v1</t>
  </si>
  <si>
    <t>De Brock B.</t>
  </si>
  <si>
    <t>De Brock, Bert (36628111600)</t>
  </si>
  <si>
    <t>36628111600</t>
  </si>
  <si>
    <t>On system sequence descriptions</t>
  </si>
  <si>
    <t>Context: Use cases (UCs) are widely used to specify the functionality of a SW system. A UC is usually worked out in a Main Success Scenario and several other (Alternative) Scenarios. To make the overall structure of the UC clear and to prepare for the software implementing the UC, these scenarios must be integrated into one structure per UC. Question/problem: How to integrate the different scenarios of a UC into one structure? Our solution: We propose so-called (textual) System Sequence Descriptions (SSDs). We introduce a suitable (context-free) grammar for our SSDs. We can express all usual constructs with our SSDs, such as primary and secondary actors, basic steps, the internal responsibilities of the system, sequential composition, arbitrary order, loops/repetition, conditionals, alternatives, options, choices, definitions, and calls/'Includes'. To support validation of the resulting SSDs (with integrated scenarios) and check it with the users (Requirements quality assessment), we give (inductive) translation rules to translate the SSDs to natural language (Natural Language Generation for RE). Additionally, we give (inductive) rules to generate graphical SSDs (like the more familiar UML-diagrams) from our textual SSDs. This might support validation too. Results: With this new artefact design we can easily integrate the different scenarios of a UC into one clear SSD and also check the result with the users. That integrated SSD clarifies the overall structure of the UC and forms a suitable basis for implementation. With a nontrivial example we illustrate that the proposed grammar is very practical and that the approach scales up easily. Main contribution: The paper describes novel technical solutions for the application of NL-technologies to RE-relevant artefacts. The paper includes additional solutions to the RE-problem of validation. Copyright © 2020 for this paper by its authors.</t>
  </si>
  <si>
    <t>https://www.scopus.com/inward/record.uri?eid=2-s2.0-85082669901&amp;partnerID=40&amp;md5=1f82d12f55ed776c2663252323201788</t>
  </si>
  <si>
    <t>Drechsler R.; Soeken M.; Wille R.</t>
  </si>
  <si>
    <t>Drechsler, Rolf (55172914000); Soeken, Mathias (24825660000); Wille, Robert (24587880100)</t>
  </si>
  <si>
    <t>55172914000; 24825660000; 24587880100</t>
  </si>
  <si>
    <t>Automated and quality-driven requirements engineering</t>
  </si>
  <si>
    <t>This tutorial paper summarizes selective research results from the field of automated requirement engineering. Automatization is achieved by employing natural language processing techniques. We show algorithms that work directly on the natural language text and algorithms that translate natural language text to formal models. To ensure quality, we further illustrate verification algorithms that can proof correctness of the extracted formal models. © 2014 IEEE.</t>
  </si>
  <si>
    <t>IEEE/ACM International Conference on Computer-Aided Design, Digest of Technical Papers, ICCAD</t>
  </si>
  <si>
    <t>2015-January</t>
  </si>
  <si>
    <t>January</t>
  </si>
  <si>
    <t>7001410</t>
  </si>
  <si>
    <t>10.1109/ICCAD.2014.7001410</t>
  </si>
  <si>
    <t>https://www.scopus.com/inward/record.uri?eid=2-s2.0-84936871277&amp;doi=10.1109%2fICCAD.2014.7001410&amp;partnerID=40&amp;md5=af460de7314440261de27fe65fad2e3e</t>
  </si>
  <si>
    <t>El-Attar M.; Miller J.</t>
  </si>
  <si>
    <t>El-Attar, Mohamed (16030278200); Miller, James (55832056200)</t>
  </si>
  <si>
    <t>16030278200; 55832056200</t>
  </si>
  <si>
    <t>Matching antipatterns to improve the quality of use case models</t>
  </si>
  <si>
    <t>Use Case modeling is an effective technique used to capture functional requirements. Use Case models are mainly composed of textual descriptions written in natural language and simple diagrams that adhere to a few syntactic rules. This simplicity can be deceptive as many modelers create Use Case models that are incorrect, inconsistent, and ambiguous and contain restrictive design decisions. In this paper, a new methodology is described that utilizes antipatterns to detect potentially defective areas in Use Case models. This paper introduces the tool ARBIUM, which will support the proposed technique and aid analysts to improve the quality of their models. ARBIUM presents a framework that will allow developers to define their own antipatterns using OCL and textual descriptions. The proposed approach and tool are applied to a distributed biodiversity database Use Case model to demonstrate its feasibility. Our results indicate that they can improve the overall clarity and precision of Use Case models. © 2006 IEEE.</t>
  </si>
  <si>
    <t>1704053</t>
  </si>
  <si>
    <t>10.1109/RE.2006.42</t>
  </si>
  <si>
    <t>https://www.scopus.com/inward/record.uri?eid=2-s2.0-41149117195&amp;doi=10.1109%2fRE.2006.42&amp;partnerID=40&amp;md5=f60663206d73883c19cd7eeb2c5672db</t>
  </si>
  <si>
    <t>Ellis-Braithwaite R.; Lock R.; Dawson R.; King T.</t>
  </si>
  <si>
    <t>Ellis-Braithwaite, Richard (56910315300); Lock, Russell (16241752500); Dawson, Ray (7202256185); King, Tim (57220572740)</t>
  </si>
  <si>
    <t>56910315300; 16241752500; 7202256185; 57220572740</t>
  </si>
  <si>
    <t>Repetition between stakeholder (user) and system requirements</t>
  </si>
  <si>
    <t>Stakeholder requirements (also known as user requirements) are defined at an early stage of a software project to describe the problem(s) to be solved. At a later stage, abstract solutions to those problems are prescribed in system requirements. The quality of these requirements has long been linked to the quality of the software system and its development or procurement process. However, little is known about the quality defect of redundancy between these two sets of requirements. Previous literature is anecdotal rather than exploratory, and so this paper empirically investigates its occurrence and consequences with a case study from a UK defense contractor. We report on a survey of sixteen consultants to understand their perception of the problem, and on an analysis of real-world software requirements documents using natural language processing techniques. We found that three quarters of the consultants had seen repetition in at least half of their projects. Additionally, we found that on average, a third of the requirement pairs’ (comprised of a system and its related stakeholder requirement) description fields were repeated such that one requirement in the pair added only trivial information. That is, solutions were described twice while their respective problems were not described, which ultimately lead to suboptimal decisions later in the development process, as well as reduced motivation to read the requirements set. Furthermore, the requirement fields considered to be secondary to the primary “description” field, such as the “rationale” or “fit criterion” fields, had considerably more repetition within UR–SysR pairs. Finally, given that the UR–SysR repetition phenomena received most of its discussion in the literature over a decade ago, it is interesting that the survey participants did not consider its occurrence to have declined since then. We provide recommendations on preventing the defect, and describe the freely available tool developed to automatically detect its occurrence and alleviate its consequences. © 2015, Springer-Verlag London.</t>
  </si>
  <si>
    <t>22</t>
  </si>
  <si>
    <t>10.1007/s00766-015-0239-x</t>
  </si>
  <si>
    <t>https://www.scopus.com/inward/record.uri?eid=2-s2.0-84944628882&amp;doi=10.1007%2fs00766-015-0239-x&amp;partnerID=40&amp;md5=e5ca9f28e2726ec7ac3b7707267747bf</t>
  </si>
  <si>
    <t>Ezzini S.; Abualhaija S.; Arora C.; Sabetzadeh M.</t>
  </si>
  <si>
    <t>Ezzini, Saad (57200946567); Abualhaija, Sallam (55258471800); Arora, Chetan (55848706400); Sabetzadeh, Mehrdad (9133712900)</t>
  </si>
  <si>
    <t>57200946567; 55258471800; 55848706400; 9133712900</t>
  </si>
  <si>
    <t>AI-based Question Answering Assistance for Analyzing Natural-language Requirements</t>
  </si>
  <si>
    <t>By virtue of being prevalently written in natural language (NL), requirements are prone to various defects, e.g., inconsistency and incompleteness. As such, requirements are frequently subject to quality assurance processes. These processes, when carried out entirely manually, are tedious and may further overlook important quality issues due to time and budget pressures. In this paper, we propose QAssist - a question-answering (QA) approach that provides automated assistance to stakeholders, including requirements engineers, during the analysis of NL requirements. Posing a question and getting an instant answer is beneficial in various quality-assurance scenarios, e.g., incompleteness detection. Answering requirements-related questions automatically is challenging since the scope of the search for answers can go beyond the given requirements specification. To that end, QAssist provides support for mining external domain-knowledge resources. Our work is one of the first initiatives to bring together QA and external domain knowledge for addressing requirements engineering challenges. We evaluate QAssist on a dataset covering three application domains and containing a total of 387 question-answer pairs. We experiment with state-of-the-art QA methods, based primarily on recent large-scale language models. In our empirical study, QAssist localizes the answer to a question to three passages within the requirements specification and within the external domain-knowledge resource with an average recall of 90.1% and 96.5%, respectively. QAssist extracts the actual answer to the posed question with an average accuracy of 84.2%. © 2023 IEEE.</t>
  </si>
  <si>
    <t>Proceedings - International Conference on Software Engineering</t>
  </si>
  <si>
    <t>10.1109/ICSE48619.2023.00113</t>
  </si>
  <si>
    <t>https://www.scopus.com/inward/record.uri?eid=2-s2.0-85148723020&amp;doi=10.1109%2fICSE48619.2023.00113&amp;partnerID=40&amp;md5=59da1a0b9d246fcffdbc2ae3d6b2b41b</t>
  </si>
  <si>
    <t>Ezzini, S.; Abualhaija, S.; Arora, C.; Sabetzadeh, M.</t>
  </si>
  <si>
    <t>Ezzini, Saad; Abualhaija, Sallam; Arora, Chetan; Sabetzadeh, Mehrdad</t>
  </si>
  <si>
    <t>10.48550/arXiv.2302.04793</t>
  </si>
  <si>
    <t>https://doi.org/10.48550/arXiv.2302.04793</t>
  </si>
  <si>
    <t>Fadhlurrohman D.H.; Sabariah M.K.; Alibasa M.J.; Husen J.H.</t>
  </si>
  <si>
    <t>Fadhlurrohman, Daffa Hilmy (58636870200); Sabariah, Mira Kania (56502148700); Alibasa, Muhammad Johan (57201859953); Husen, Jati Hiliamsyah (57207911799)</t>
  </si>
  <si>
    <t>58636870200; 56502148700; 57201859953; 57207911799</t>
  </si>
  <si>
    <t>Naive Bayes Classification Model for Precondition-Postcondition in Software Requirements</t>
  </si>
  <si>
    <t>The quality of a test case primarily depends on the software requirements. However, manually identifying crucial elements like preconditions and post-conditions within software requirements can be time-consuming and labor-intensive. This challenge has prompted a research study to propose a novel approach for test case generation using text classification. The proposed approach involves categorizing software requirements into two labels: 'none' and 'both.' These labels indicate the presence or absence of preconditions and post-conditions in software requirements. To achieve this, the research employs the Naive Bayes algorithm, a widely used probabilistic classification algorithm in text classification tasks. The algorithm leverages two libraries, namely Scikit-learn and Natural Language Toolkit (NLTK). The Scikit-learn model proves quite effective through experimentation, achieving an impressive accuracy score of 0.86. This result demonstrates the feasibility of reducing the effort and time required for classifying test case components based on software requirements. By automating this process, the proposed approach offers a promising route for enhancing the efficiency and effectiveness of test case generation in software testing. By leveraging text classification and machine learning techniques, the proposed approach not only streamlines the identification of essential components in software requirements but also opens up possibilities for further automation and optimization of the testing process.  © 2023 IEEE.</t>
  </si>
  <si>
    <t>2023 International Conference on Data Science and Its Applications, ICoDSA 2023</t>
  </si>
  <si>
    <t>10.1109/ICoDSA58501.2023.10277397</t>
  </si>
  <si>
    <t>https://www.scopus.com/inward/record.uri?eid=2-s2.0-85175653581&amp;doi=10.1109%2fICoDSA58501.2023.10277397&amp;partnerID=40&amp;md5=23f37b1359afbe3c249609b31470f3c6</t>
  </si>
  <si>
    <t>Fantechi A.; Gnesi S.; Passaro L.; Semini L.</t>
  </si>
  <si>
    <t>Fantechi, Alessandro (6701442229); Gnesi, Stefania (6603718373); Passaro, Lucia (57192941166); Semini, Laura (6505993305)</t>
  </si>
  <si>
    <t>6701442229; 6603718373; 57192941166; 6505993305</t>
  </si>
  <si>
    <t>Inconsistency Detection in Natural Language Requirements using ChatGPT: a Preliminary Evaluation</t>
  </si>
  <si>
    <t>With the rapid advancement of tools based on Artificial Intelligence, it is interesting to assess their usefulness in requirements engineering. In early experiments, we have seen that ChatGPT can detect inconsistency defects in natural language (NL) requirements, that traditional NLP tools cannot identify or can identify with difficulties even after domain-focused training. This study is devoted to specifically measuring the performance of ChatGPT in finding inconsistency in requirements. Positive results in this respect could lead to the use of ChatGPT to complement existing requirements analysis tools to automatically detect this important quality criterion. For this purpose, we consider GPT-3.5, the Generative Pretrained Transformer language model developed by OpenAI. We evaluate its ability to detect inconsistency by comparing its predictions with those obtained from expert judgments by students with a proven knowledge of RE issues on a few example requirements documents.  © 2023 IEEE.</t>
  </si>
  <si>
    <t>10.1109/RE57278.2023.00045</t>
  </si>
  <si>
    <t>https://www.scopus.com/inward/record.uri?eid=2-s2.0-85174384397&amp;doi=10.1109%2fRE57278.2023.00045&amp;partnerID=40&amp;md5=b8959a0ae02bbd555cdc01b46b60a647</t>
  </si>
  <si>
    <t>Femmer H.; Müller A.; Eder S.</t>
  </si>
  <si>
    <t>Femmer, Henning (53879806300); Müller, Axel (57214219261); Eder, Sebastian (55319855300)</t>
  </si>
  <si>
    <t>53879806300; 57214219261; 55319855300</t>
  </si>
  <si>
    <t>Semantic Similarities in Natural Language Requirements</t>
  </si>
  <si>
    <t>Semantic similarity information supports requirements tracing and helps to reveal important requirements quality defects such as redundancies and inconsistencies. Previous work has applied semantic similarity algorithms to requirements, however, we do not know enough about the performance of machine learning and deep learning models in that context. Therefore, in this work we create the largest dataset for analyzing the similarity of requirements so far through the use of Amazon Mechanical Turk, a crowd-sourcing marketplace for micro-tasks. Based on this dataset, we investigate and compare different types of algorithms for estimating semantic similarities of requirements, covering both relatively simple bag-of-words and machine learning models. In our experiments, a model which relies on averaging trained word and character embeddings as well as an approach based on character sequence occurrences and overlaps achieve the best performances on our requirements dataset. © Springer Nature Switzerland AG 2020.</t>
  </si>
  <si>
    <t>371 LNBIP</t>
  </si>
  <si>
    <t>10.1007/978-3-030-35510-4_6</t>
  </si>
  <si>
    <t>https://www.scopus.com/inward/record.uri?eid=2-s2.0-85078479877&amp;doi=10.1007%2f978-3-030-35510-4_6&amp;partnerID=40&amp;md5=7b2e0f3fff33af183287893b6d01bf74</t>
  </si>
  <si>
    <t>Ferrari A.; Dell'Orletta F.; Spagnolo G.O.; Gnesi S.</t>
  </si>
  <si>
    <t>Ferrari, Alessio (55765001561); Dell'Orletta, Felice (57540567000); Spagnolo, Giorgio Oronzo (16481655400); Gnesi, Stefania (6603718373)</t>
  </si>
  <si>
    <t>55765001561; 57540567000; 16481655400; 6603718373</t>
  </si>
  <si>
    <t>Measuring and improving the completeness of natural language requirements</t>
  </si>
  <si>
    <t>[Context and motivation] System requirements specifications are normally written in natural language. These documents are required to be complete with respect to the input documents of the requirements definition phase, such as preliminary specifications, transcripts of meetings with the customers, etc. In other terms, they shall include all the relevant concepts and all the relevant interactions among concepts expressed in the input documents. [Question/Problem] Means are required to measure and improve the completeness of the requirements with respect to the input documents. [Principal idea/results] To measure this completeness, we propose two metrics that take into account the relevant terms of the input documents, and the relevant relationships among terms. Furthermore, to improve the completeness, we present a natural language processing tool named Completeness Assistant for Requirements (CAR), which supports the definition of the requirements: the tool helps the requirements engineer in discovering relevant concepts and interactions. [Contribution] We have performed a pilot test with CAR, which shows that the tool can help improving the completeness of the requirements with respect to the input documents. The study has also shown that CAR is actually useful in the identification of specific/alternative system behaviours that might be overseen without the tool. © 2014 Springer International Publishing Switzerland.</t>
  </si>
  <si>
    <t>8396 LNCS</t>
  </si>
  <si>
    <t>10.1007/978-3-319-05843-6_3</t>
  </si>
  <si>
    <t>https://www.scopus.com/inward/record.uri?eid=2-s2.0-84958531874&amp;doi=10.1007%2f978-3-319-05843-6_3&amp;partnerID=40&amp;md5=e12e5f0f8b0ac36214404f3b7927e0d5</t>
  </si>
  <si>
    <t>Ferrari A.; Gnesi S.; Tolomei G.</t>
  </si>
  <si>
    <t>Ferrari, Alessio (55765001561); Gnesi, Stefania (6603718373); Tolomei, Gabriele (12784026600)</t>
  </si>
  <si>
    <t>55765001561; 6603718373; 12784026600</t>
  </si>
  <si>
    <t>Using clustering to improve the structure of natural language requirements documents</t>
  </si>
  <si>
    <t>[Context and motivation] System requirements are normally provided in the form of natural language documents. Such documents need to be properly structured, in order to ease the overall uptake of the requirements by the readers of the document. A structure that allows a proper understanding of a requirements document shall satisfy two main quality attributes: (i) requirements relatedness: each requirement is conceptually connected with the requirements in the same section; (ii) sections independence: each section is conceptually separated from the others. [Question/Problem] Automatically identifying the parts of the document that lack requirements relatedness and sections independence may help improve the document structure. [Principal idea/results] To this end, we define a novel clustering algorithm named Sliding Head-Tail Component (S-HTC). The algorithm groups together similar requirements that are contiguous in the requirements document. We claim that such algorithm allows discovering the structure of the document in the way it is perceived by the reader. If the structure originally provided by the document does not match the structure discovered by the algorithm, hints are given to identify the parts of the document that lack requirements relatedness and sections independence. [Contribution] We evaluate the effectiveness of the algorithm with a pilot test on a requirements standard of the railway domain (583 requirements). © 2013 Springer-Verlag.</t>
  </si>
  <si>
    <t>7830 LNCS</t>
  </si>
  <si>
    <t>10.1007/978-3-642-37422-7_3</t>
  </si>
  <si>
    <t>https://www.scopus.com/inward/record.uri?eid=2-s2.0-84875836582&amp;doi=10.1007%2f978-3-642-37422-7_3&amp;partnerID=40&amp;md5=6147d211ee2c4963a847499e6a81d814</t>
  </si>
  <si>
    <t>Ferrari A.; Gori G.; Rosadini B.; Trotta I.; Bacherini S.; Fantechi A.; Gnesi S.</t>
  </si>
  <si>
    <t>Ferrari, Alessio (55765001561); Gori, Gloria (57193433896); Rosadini, Benedetta (57193431967); Trotta, Iacopo (7801465544); Bacherini, Stefano (14826478800); Fantechi, Alessandro (6701442229); Gnesi, Stefania (6603718373)</t>
  </si>
  <si>
    <t>55765001561; 57193433896; 57193431967; 7801465544; 14826478800; 6701442229; 6603718373</t>
  </si>
  <si>
    <t>Detecting requirements defects with NLP patterns: an industrial experience in the railway domain</t>
  </si>
  <si>
    <t>In the railway safety-critical domain requirements documents have to abide to strict quality criteria. Rule-based natural language processing (NLP) techniques have been developed to automatically identify quality defects in natural language requirements. However, the literature is lacking empirical studies on the application of these techniques in industrial settings. Our goal is to investigate to which extent NLP can be practically applied to detect defects in the requirements documents of a railway signalling manufacturer. To address this goal, we first identified a set of typical defects classes, and, for each class, an engineer of the company implemented a set of defect-detection patterns by means of the GATE tool for text processing. After a preliminary analysis, we applied the patterns to a large set of 1866 requirements previously annotated for defects. The output of the patterns was further inspected by two domain experts to check the false positive cases. Additional discard-patterns were defined to automatically remove these cases. Finally, SREE, a tool that searches for typically ambiguous terms, was applied to the requirements. The experiments show that SREE and our patterns may play complementary roles in the detection of requirements defects. This is one of the first works in which defect detection NLP techniques are applied on a very large set of industrial requirements annotated by domain experts. We contribute with a comparison between traditional manual techniques used in industry for requirements analysis, and analysis performed with NLP. Our experience shows that several discrepancies can be observed between the two approaches. The analysis of the discrepancies offers hints to improve the capabilities of NLP techniques with company specific solutions, and suggests that also company practices need to be modified to effectively exploit NLP tools. © 2018, Springer Science+Business Media, LLC, part of Springer Nature.</t>
  </si>
  <si>
    <t>23</t>
  </si>
  <si>
    <t>6</t>
  </si>
  <si>
    <t>10.1007/s10664-018-9596-7</t>
  </si>
  <si>
    <t>https://www.scopus.com/inward/record.uri?eid=2-s2.0-85042219906&amp;doi=10.1007%2fs10664-018-9596-7&amp;partnerID=40&amp;md5=4574d1c706f6b010f4db1a154e895177</t>
  </si>
  <si>
    <t>Ferrari A.; Spagnolo G.O.; Fiscella A.; Parente G.</t>
  </si>
  <si>
    <t>Ferrari, Alessio (55765001561); Spagnolo, Giorgio O. (16481655400); Fiscella, Antonella (57211374449); Parente, Guido (57211376290)</t>
  </si>
  <si>
    <t>55765001561; 16481655400; 57211374449; 57211376290</t>
  </si>
  <si>
    <t>QuOD: An NLP Tool to Improve the Quality of Business Process Descriptions</t>
  </si>
  <si>
    <t>[Context and Motivation] In real-world organisations, business processes (BPs) are often described by means of natural language (NL) documents. Indeed, although semi-formal graphical notations exist to model BPs, most of the legacy process knowledge—when not tacit—is still conveyed through textual procedures or operational manuals, in which the BPs are specified. This is particularly true for public administrations (PAs), in which a large variety of BPs exist (e.g., definition of tenders, front-desk support) that have to be understood and put into practice by civil servants. [Question/problem] Incorrect understanding of the BP descriptions in PAs may cause delays in the delivery of services to citizens, or, in some cases, incorrect execution of the BPs. [Principal idea/results] In this paper, we present the development of an NLP-based tool named QuOD (Quality Analyser for Official Documents), oriented to detect linguistic defects in BP descriptions and to provide recommendations for improvements. [Contribution] QuOD is the first tool that addresses the problem of identifying NL defects in BP descriptions of PAs. The tool is available online at http://narwhal.it/quod/index.html. © 2019, Springer Nature Switzerland AG.</t>
  </si>
  <si>
    <t>11865 LNCS</t>
  </si>
  <si>
    <t>10.1007/978-3-030-30985-5_17</t>
  </si>
  <si>
    <t>https://www.scopus.com/inward/record.uri?eid=2-s2.0-85073693773&amp;doi=10.1007%2f978-3-030-30985-5_17&amp;partnerID=40&amp;md5=6f49ce23d87da750afe019e8bf699974</t>
  </si>
  <si>
    <t>Book chapter</t>
  </si>
  <si>
    <t>Ferrari A.; Spagnolo G.O.; Martelli G.; Menabeni S.</t>
  </si>
  <si>
    <t>Ferrari, Alessio (55765001561); Spagnolo, Giorgio O. (16481655400); Martelli, Giacomo (55445347100); Menabeni, Simone (55445124700)</t>
  </si>
  <si>
    <t>55765001561; 16481655400; 55445347100; 55445124700</t>
  </si>
  <si>
    <t>From commercial documents to system requirements: an approach for the engineering of novel CBTC solutions</t>
  </si>
  <si>
    <t>Communications-based train control (CBTC) systems are the new frontier of automated train control and operation. Currently developed CBTC platforms are actually very complex systems including several functionalities, and every installed system, developed by a different company, varies in extent, scope, number, and even names of the implemented functionalities. International standards have emerged, but they remain at a quite abstract level, mostly setting terminology. This paper presents the results of an experience in defining a global model of CBTC, by mixing semi-formal modelling and product line engineering. The effort has been based on an in-depth market analysis, not limiting to particular aspects but considering as far as possible the whole picture. The paper also describes a methodology to derive novel CBTC products from the global model, and to define system requirements for the individual CBTC components. To this end, the proposed methodology employs scenario-based requirements elicitation aided with rapid prototyping. To enhance the quality of the requirements, these are written in a constrained natural language (CNL), and evaluated with natural language processing (NLP) techniques. The final goal is to go toward a formal representation of the requirements for CBTC systems. The overall approach is discussed, and the current experience with the implementation of the method is presented. In particular, we show how the presented methodology has been used in practice to derive a novel CBTC architecture. © 2014, Springer-Verlag Berlin Heidelberg.</t>
  </si>
  <si>
    <t>International Journal on Software Tools for Technology Transfer</t>
  </si>
  <si>
    <t>16</t>
  </si>
  <si>
    <t>10.1007/s10009-013-0298-6</t>
  </si>
  <si>
    <t>https://www.scopus.com/inward/record.uri?eid=2-s2.0-84919836120&amp;doi=10.1007%2fs10009-013-0298-6&amp;partnerID=40&amp;md5=80e5a211927de9d23f0cb1c07f930714</t>
  </si>
  <si>
    <t>Ferreira D.D.A.; Silva A.R.D.</t>
  </si>
  <si>
    <t>Ferreira, David De Almeida (56379655000); Silva, Alberto Rodrigues Da (57998870700)</t>
  </si>
  <si>
    <t>A controlled natural language approach for integrating requirements and model-driven engineering</t>
  </si>
  <si>
    <t>Despite the efforts made during the last decades, Software Engineering still presents several issues concerning software products' quality. Requirements Engineering plays a important role regarding software quality, since it deals with the clear definition of the target system's scope. Moreover, Requirements Engineering is crucial to deal with change management, which is required to ensure that the final product reflects the stakeholders' expectations, namely the client and end-users business-related needs. We advocate the need to address the open issues regarding the requirements development process, namely to mitigate the drawbacks of using informal natural language, such as ambiguity and inconsistency. Moreover, we recognize the importance of automation to enhance productivity by avoiding repetitive and error-prone activities. In this paper, we propose a new socio-technical approach to overcome these software quality problems, consisting on the deep integration of Requirements Engineering with Model- Driven Engineering processes. This approach is based upon a controlled natural language for requirements specification, supporting the automatic extraction and verification of requirements models with Natural Language Processing techniques. The current results consist on the development of a Wiki-based tool prototype to validate our research ideas. © 2009 IEEE.</t>
  </si>
  <si>
    <t>4th International Conference on Software Engineering Advances, ICSEA 2009, Includes SEDES 2009: Simposio para Estudantes de Doutoramento em Engenharia de Software</t>
  </si>
  <si>
    <t>5298763</t>
  </si>
  <si>
    <t>10.1109/ICSEA.2009.81</t>
  </si>
  <si>
    <t>https://www.scopus.com/inward/record.uri?eid=2-s2.0-70749135971&amp;doi=10.1109%2fICSEA.2009.81&amp;partnerID=40&amp;md5=bae79ce7f6dd8e58f6594290741ad0cf</t>
  </si>
  <si>
    <t>Fischbach J.; Junker M.; Vogelsang A.; Freudenstein D.</t>
  </si>
  <si>
    <t>Fischbach, Jannik (57215317807); Junker, Maximilian (48861390600); Vogelsang, Andreas (56254083200); Freudenstein, Dietmar (57203299583)</t>
  </si>
  <si>
    <t>57215317807; 48861390600; 56254083200; 57203299583</t>
  </si>
  <si>
    <t>Automated generation of test models from semi-structured requirements</t>
  </si>
  <si>
    <t>[Context:] Model-based testing is an instrument for automated generation of test cases. It requires identifying requirements in documents, understanding them syntactically and semantically, and then translating them into a test model. One light-weight language for these test models are Cause-Effect-Graphs (CEG) that can be used to derive test cases. [Problem:] The creation of test models is laborious and we lack an automated solution that covers the entire process from requirement detection to test model creation. In addition, the majority of requirements is expressed in natural language (NL), which is hard to translate to test models automatically. [Principal Idea:] We build on the fact that not all NL requirements are equally unstructured. We found that 14% of the lines in requirements documents of our industry partner contain 'pseudo-code'-like descriptions of business rules. We apply Machine Learning to identify such semi-structured requirements descriptions and propose a rule-based approach for their translation into CEGs. [Contribution:] We make three contributions: (1) an algorithm for the automatic detection of semi-structured requirements descriptions in documents, (2) an algorithm for the automatic translation of the identified requirements into a CEG and (3) a study demonstrating that our proposed solution leads to 86% time savings for test model creation without loss of quality. © 2019 IEEE.</t>
  </si>
  <si>
    <t>Proceedings - 2019 IEEE 27th International Requirements Engineering Conference Workshops, REW 2019</t>
  </si>
  <si>
    <t>8933802</t>
  </si>
  <si>
    <t>10.1109/REW.2019.00053</t>
  </si>
  <si>
    <t>https://www.scopus.com/inward/record.uri?eid=2-s2.0-85078045226&amp;doi=10.1109%2fREW.2019.00053&amp;partnerID=40&amp;md5=1b0890df1f0814399e72a9d692a817be</t>
  </si>
  <si>
    <t>Fischbach, J.; Junker, M.; Vogelsang, A.; Freudenstein, D.</t>
  </si>
  <si>
    <t>Fischbach, Jannik; Junker, Maximilian; Vogelsang, Andreas; Freudenstein, Dietmar</t>
  </si>
  <si>
    <t>Automated Generation of Test Models from Semi-Structured Requirements</t>
  </si>
  <si>
    <t>10.48550/arXiv.1908.08810</t>
  </si>
  <si>
    <t>https://arxiv.org/abs/1908.08810</t>
  </si>
  <si>
    <t>Fraga A.</t>
  </si>
  <si>
    <t>Fraga, Anabel (17345500400)</t>
  </si>
  <si>
    <t>17345500400</t>
  </si>
  <si>
    <t>Quality of requirements in the industrial environment</t>
  </si>
  <si>
    <t>Reviews activities are time consuming and their performances are not totally satisfying. These activities rely on the expertise of the Systems Engineers completely. More advanced practices should combine Requirements Engineering and Knowledge Management. The use of requirement boilerplates, patterns and ontologies controlled by natural language processing (NLP), enable to analyse the substance of requirements and help users to identify in a large set of requirements gaps such as inconsistencies or superfluous similarities. Typical examples are inconsistent use of measurement units in requirements, lack of domain vocabulary, multiple requirements that mean the same requirement at the end. We point out during the lecture additional instances and focus on the several quality assessment functions that can be applied. Copyright © 2015 by SCITEPRESS - Science and Technology Publications, Lda. All rights reserved.</t>
  </si>
  <si>
    <t>SKY 2015 - Proceedings of the 6th International Workshop on Software Knowledge, in conjuction with IC3K 2015</t>
  </si>
  <si>
    <t>https://www.scopus.com/inward/record.uri?eid=2-s2.0-84960880801&amp;partnerID=40&amp;md5=5afc1b28652feedb12c859128b6b8a2a</t>
  </si>
  <si>
    <t>Franch X.</t>
  </si>
  <si>
    <t>Franch, Xavier (6603081752)</t>
  </si>
  <si>
    <t>6603081752</t>
  </si>
  <si>
    <t>Data-Driven Requirements Engineering: A Guided Tour</t>
  </si>
  <si>
    <t>Data-driven approaches are becoming dominant in almost every single software engineering activity, and requirements engineering is not the exception. The analysis of data coming from several sources may indeed become an extremely useful input to requirements elicitation and management. However, benefits do not come for free. Techniques such as natural language processing and machine learning are difficult to master and require high-quality data and specific competences from different fields, whilst their generalization remains as a challenge. This paper introduces the main concepts behind data-driven requirements engineering, provides an overview of the state of the art in the field and identifies the main challenges to be addressed. © 2021, Springer Nature Switzerland AG.</t>
  </si>
  <si>
    <t>1375</t>
  </si>
  <si>
    <t>10.1007/978-3-030-70006-5_4</t>
  </si>
  <si>
    <t>https://www.scopus.com/inward/record.uri?eid=2-s2.0-85103264309&amp;doi=10.1007%2f978-3-030-70006-5_4&amp;partnerID=40&amp;md5=221db484fcd363a733ba60a952e7a782</t>
  </si>
  <si>
    <t>Frattini J.; Montgomery L.; Fischbach J.; Unterkalmsteiner M.; Mendez D.; Fucci D.</t>
  </si>
  <si>
    <t>Frattini, Julian (57220116066); Montgomery, Lloyd (57196369811); Fischbach, Jannik (57215317807); Unterkalmsteiner, Michael (36245433300); Mendez, Daniel (55614741000); Fucci, Davide (55766423800)</t>
  </si>
  <si>
    <t>57220116066; 57196369811; 57215317807; 36245433300; 55614741000; 55766423800</t>
  </si>
  <si>
    <t>A Live Extensible Ontology of Quality Factors for Textual Requirements</t>
  </si>
  <si>
    <t>Quality factors like passive voice or sentence length are commonly used in research and practice to evaluate the quality of natural language requirements since they indicate defects in requirements artifacts that potentially propagate to later stages in the development life cycle. However, as a research community, we still lack a holistic perspective on quality factors. This inhibits not only a comprehensive understanding of the existing body of knowledge but also the effective use and evolution of these factors. To this end, we propose an ontology of quality factors for textual requirements, which includes (1) a structure framing quality factors and related elements and (2) a central repository and web interface making these factors publicly accessible and usable. We contribute the first version of both by applying a rigorous ontology development method to 105 eligible primary studies and construct a first version of the repository and interface. We illustrate the usability of the ontology and invite fellow researchers to a joint community effort to complete and maintain this knowledge repository. We envision our ontology to reflect the community's harmonized perception of requirements quality factors, guide reporting of new quality factors, and provide central access to the current body of knowledge.  © 2022 IEEE.</t>
  </si>
  <si>
    <t>2022-August</t>
  </si>
  <si>
    <t>10.1109/RE54965.2022.00041</t>
  </si>
  <si>
    <t>https://www.scopus.com/inward/record.uri?eid=2-s2.0-85140969591&amp;doi=10.1109%2fRE54965.2022.00041&amp;partnerID=40&amp;md5=e46af0c00525fa31329de0504ab8f4c6</t>
  </si>
  <si>
    <t>Frattini, J.; Montgomery, L.; Fischbach, J.; Unterkalmsteiner, M.; Mendez, D.; Fucci, D.</t>
  </si>
  <si>
    <t>Frattini, Julian; Montgomery, Lloyd; Fischbach, Jannik; Unterkalmsteiner, Michael; Mendez, Daniel; Fucci, Davide</t>
  </si>
  <si>
    <t>10.48550/arXiv.2206.05959</t>
  </si>
  <si>
    <t>https://arxiv.org/abs/2206.05959v1</t>
  </si>
  <si>
    <t>Frattini, J.; Fucci, D.; Torkar, R.; Montgomery, L.; Unterkalmsteiner, M.; Fischbach, J.; Mendez, D.</t>
  </si>
  <si>
    <t>Frattini, Julian; Fucci, Davide; Torkar, Richard; Montgomery, Lloyd; Unterkalmsteiner, Michael; Fischbach, Jannik; Mendez, Daniel</t>
  </si>
  <si>
    <t>Applying Bayesian Data Analysis for Causal Inference about Requirements Quality: A Replicated Experiment</t>
  </si>
  <si>
    <t xml:space="preserve">
10.48550/arXiv.2401.01154</t>
  </si>
  <si>
    <t>https://arxiv.org/abs/2401.01154v1</t>
  </si>
  <si>
    <t>Fritz S.; Jaenicke M.; Ovtcharova J.; Wicaksono H.</t>
  </si>
  <si>
    <t>Fritz, Simon (57203371467); Jaenicke, Matthias (57221926195); Ovtcharova, Jivka (55886439600); Wicaksono, Hendro (36447071900)</t>
  </si>
  <si>
    <t>57203371467; 57221926195; 55886439600; 36447071900</t>
  </si>
  <si>
    <t>Context-sensitive Assistance in Requirements-based Knowledge Management</t>
  </si>
  <si>
    <t>In this paper, a concept of a digital assistance system is presented which, based on computer linguistic methods, supports the user in the tasks of requirement-based knowledge management. The concept is divided into six modules that offer context-sensitive support in the identification, documentation, linking, modification and reuse of requirements and the associated knowledge. Since this concept was developed as part of the BMBF-funded SME Innovative Project DAM4KMU, which is primarily aimed at German SMEs, the concept developed was specially designed for processing German-language texts. The digital assistance system pursues the goal, on the one hand, of increasing the quality of the documentation by supporting the user in the creation of complete formulations. On the other hand, with the help of the most modern language models, possible relationships between the information should be identified and linked to each other in a partially automated manner. In addition, the integration of web crawling technologies should make the knowledge available on the Internet available in a context-sensitive manner, in order to lift possible innovations on the one hand and not to forget possible non-considered boundary conditions on the other. The automatic linking of all information is intended to ensure a continuous exchange of knowledge, which should reduce misunderstandings and non-communicated changes to requirements or goals to a minimum. © 2020 ACM.</t>
  </si>
  <si>
    <t>10.1145/3443279.3443306</t>
  </si>
  <si>
    <t>https://www.scopus.com/inward/record.uri?eid=2-s2.0-85100632778&amp;doi=10.1145%2f3443279.3443306&amp;partnerID=40&amp;md5=6128ee2ff33cd5a4b6dd185bd916bb4e</t>
  </si>
  <si>
    <t>Fucci D.; Stanik C.; Montgomery L.; Kurtanović Z.; Johann T.; Maalej W.</t>
  </si>
  <si>
    <t>Fucci, Davide (55766423800); Stanik, Christoph (57189293529); Montgomery, Lloyd (57196369811); Kurtanović, Zijad (55841496900); Johann, Timo (43561285100); Maalej, Walid (25928659900)</t>
  </si>
  <si>
    <t>55766423800; 57189293529; 57196369811; 55841496900; 43561285100; 25928659900</t>
  </si>
  <si>
    <t>Research on NLP for RE at the University of Hamburg: A report</t>
  </si>
  <si>
    <t>The Mobile Applied Software Technology (MAST) group at the University of Hamburg focuses its research on context-aware adaptive systems and the social side of software engineering. In the context of natural language processing for requirements engineering, the group has mostly focused on mining app stores reviews. Currently, the group is involved in the OpenReq project where natural language processing is being used to recommend requirements from diverse sources (e.g., social media, issue trackers), and to improve the structural quality of existing requirements. Copyright c 2018 by the paper's authors.</t>
  </si>
  <si>
    <t>https://www.scopus.com/inward/record.uri?eid=2-s2.0-85045475157&amp;partnerID=40&amp;md5=6fb1859c2c46681da04fd92f4eb70919</t>
  </si>
  <si>
    <t>Galster M.; Gilson F.; Georis F.</t>
  </si>
  <si>
    <t>Galster, Matthias (15622873800); Gilson, Fabian (25653610500); Georis, François (57209109216)</t>
  </si>
  <si>
    <t>15622873800; 25653610500; 57209109216</t>
  </si>
  <si>
    <t>What quality attributes can we find in product backlogs? A machine learning perspective</t>
  </si>
  <si>
    <t>Automatically identifying quality attributes (e.g., security, performance) in agile user stories could help architects reason about early architecture design decisions before analyzing a product backlog in detail (e.g., through a manual review of stories). For example, architects may already get the “bigger picture” of potential architectural key drivers and constraints. Applying a previously developed method to automatically identify quality attributes in user stories, in this paper we investigate (a) what quality attributes are potentially missed in an automatic analysis of a backlog, and (b) how the importance of quality attributes (based on the frequency of their occurrence in a backlog) differs to that of quality attributes identified in a manual review of a backlog. As in previous works, we analyzed the backlogs of 22 publicly available projects including 1,675 stories. For most backlogs, automatically identified quality attributes are a subset of quality attributes identified manually. On the other hand, the automatic identification would usually not find more (and therefore potentially irrelevant) quality attributes than a manual review. We also found that the ranking of quality attributes differs between the automatically and manually analyzed user stories, but the overall trend of rankings is consistent. Our findings indicate that automatically identifying quality attributes can reduce the effort of an initial backlog analysis, but still provide useful (even though high-level and therefore potentially incomplete) information about quality attributes. © Springer Nature Switzerland AG 2019.</t>
  </si>
  <si>
    <t>11681 LNCS</t>
  </si>
  <si>
    <t>10.1007/978-3-030-29983-5_6</t>
  </si>
  <si>
    <t>https://www.scopus.com/inward/record.uri?eid=2-s2.0-85072819836&amp;doi=10.1007%2f978-3-030-29983-5_6&amp;partnerID=40&amp;md5=64c7d8d40c1e4d343f6e0039ff3d70f4</t>
  </si>
  <si>
    <t>García S.E.M.; Fernández-y-Fernández C.A.; Pérez E.G.R.</t>
  </si>
  <si>
    <t>García, S. E. Martínez (55712953900); Fernández-y-Fernández, C. Alberto (16041978100); Pérez, E. G. Ramos (59116842900)</t>
  </si>
  <si>
    <t>55712953900; 16041978100; 59116842900</t>
  </si>
  <si>
    <t>Classification of Non-functional Requirements Using Convolutional Neural Networks</t>
  </si>
  <si>
    <t>Abstract: The requirements phase is the core of software development, if it is not carried out correctly it can cause its failure. To combat this problem, analysts have used requirements engineering (ER, for its acronym in English), which is characterized by producing a list of quality requirements called requirements specification (RS, for its acronym in English). The SR performs the requirements classification activity, which consists of identifying the class to which each requirement belongs so that analysts face the challenge of classifying them properly. This work is focused on improving the performance of the classification of non-functional requirements (NFR); that is, with the help of a convolutional neural network. It also seeks to show the importance of preprocessing, the implementation of sampling strategies, and the use of previously trained matrices such as Fasttext, Glove, and Word2vec. The results were obtained by evaluating the metrics Recall, Precision, and F1 with an average increase of up to 30% over related work. Finally, the evaluation of the model is presented with respect to the pre-trained matrices with the ANOVA analysis. © 2023, Pleiades Publishing, Ltd.</t>
  </si>
  <si>
    <t>Programming and Computer Software</t>
  </si>
  <si>
    <t>49</t>
  </si>
  <si>
    <t>8</t>
  </si>
  <si>
    <t>10.1134/S0361768823080133</t>
  </si>
  <si>
    <t>https://www.scopus.com/inward/record.uri?eid=2-s2.0-85182955108&amp;doi=10.1134%2fS0361768823080133&amp;partnerID=40&amp;md5=2ec9fcc5cd32ebcacb9035a2ded499cd</t>
  </si>
  <si>
    <t>Adam</t>
  </si>
  <si>
    <t>Gärtner A.E.; Göhlich D.; Fay T.-A.</t>
  </si>
  <si>
    <t>Gärtner, Alexander Elenga (57866653200); Göhlich, Dietmar (8877872400); Fay, Tu-Anh (57204946241)</t>
  </si>
  <si>
    <t>57866653200; 8877872400; 57204946241</t>
  </si>
  <si>
    <t>AUTOMATED CONDITION DETECTION IN REQUIREMENTS ENGINEERING</t>
  </si>
  <si>
    <t>In product development, it is of great importance that a complete, unambiguous, and, as far as possible, contradiction-free target system is defined. Requirements documents of complex systems can contain several thousand individual requirements, derived in an interdisciplinary manner and written in natural language by many different stakeholders. Hence, errors, in the form of contradictions, cannot be completely avoided in these documents and today they must be corrected manually with high effort. This paper presents an important building block for automated contradiction detection and quality analysis of requirements documents. We discuss the necessary identification of conditions in requirements and the extraction of the verbal expressions associated with condition and effect, respectively. We applied and analyzed natural language processing methods based on grammatical versus machine learning models. The models have been applied to 1,861 real-world requirements. Both approaches generate promising results, with an accuracy partly over 98%. However, in structured specification texts, a grammatical model is preferable due to lower effort in preprocessing and better usability. © The Author(s), 2023. Published by Cambridge University Press.</t>
  </si>
  <si>
    <t>Proceedings of the Design Society</t>
  </si>
  <si>
    <t>10.1017/pds.2023.71</t>
  </si>
  <si>
    <t>https://www.scopus.com/inward/record.uri?eid=2-s2.0-85165504850&amp;doi=10.1017%2fpds.2023.71&amp;partnerID=40&amp;md5=6a127c472d33cf31031eb74da328f14a</t>
  </si>
  <si>
    <t>Gärtner S.; Ruhroth T.; Bürger J.; Schneider K.; Jürjens J.</t>
  </si>
  <si>
    <t>Gärtner, Stefan (56344408800); Ruhroth, Thomas (16835549300); Bürger, Jens (55910440600); Schneider, Kurt (35276019200); Jürjens, Jan (6602757070)</t>
  </si>
  <si>
    <t>56344408800; 16835549300; 55910440600; 35276019200; 6602757070</t>
  </si>
  <si>
    <t>Maintaining requirements for long-living software systems by incorporating security knowledge</t>
  </si>
  <si>
    <t>Security is an increasingly important quality facet in modern information systems and needs to be retained. Due to a constantly changing environment, long-living software systems "age" not by wearing out, but by failing to keep up-to-date with their environment. The problem is that requirements engineers usually do not have a complete overview of the security-related knowledge necessary to retain security of long-living software systems. This includes security standards, principles and guidelines as well as reported security incidents. In this paper, we focus on the identification of known vulnerabilities (and their variations) in natural-language requirements by leveraging security knowledge. For this purpose, we present an integrative security knowledge model and a heuristic method to detect vulnerabilities in requirements based on reported security incidents. To support knowledge evolution, we further propose a method based on natural language analysis to refine and to adapt security knowledge. Our evaluation indicates that the proposed assessment approach detects vulnerable requirements more reliable than other methods (Bayes, SVM, k-NN). Thus, requirements engineers can react faster and more effectively to a changing environment that has an impact on the desired security level of the information system. © 2014 IEEE.</t>
  </si>
  <si>
    <t>2014 IEEE 22nd International Requirements Engineering Conference, RE 2014 - Proceedings</t>
  </si>
  <si>
    <t>6912252</t>
  </si>
  <si>
    <t>10.1109/RE.2014.6912252</t>
  </si>
  <si>
    <t>https://www.scopus.com/inward/record.uri?eid=2-s2.0-84909967412&amp;doi=10.1109%2fRE.2014.6912252&amp;partnerID=40&amp;md5=9655c292262bdb52e5834fc7375818c6</t>
  </si>
  <si>
    <t>Génova G.; Fuentes J.M.; Llorens J.; Hurtado O.; Moreno V.</t>
  </si>
  <si>
    <t>Génova, Gonzalo (55885990400); Fuentes, José M. (23066684100); Llorens, Juan (7006368289); Hurtado, Omar (56694471900); Moreno, Valentín (36901636100)</t>
  </si>
  <si>
    <t>55885990400; 23066684100; 7006368289; 56694471900; 36901636100</t>
  </si>
  <si>
    <t>A framework to measure and improve the quality of textual requirements</t>
  </si>
  <si>
    <t>Improving the quality of software demands quality controls since the very beginning of the development process, i. e., requirements capture and writing. Automating quality metrics may entail considerable savings, as opposed to tedious, manually performed evaluations. We present some indicators for measuring quality in textual requirements, as well as a tool that computes quality measures in a fully automated way. We want to emphasize that the final goal must be measure to improve. Reducing quality management to the acquisition of a numerical evaluation would crash against the strong opposition of requirements engineers themselves, who would not see in the measurement process the aid of a counselor, but a policeman mechanism of penalties. To avoid this, quality indicators must first of all point out concrete defects and provide suggestions for improvement. The final result will not only be an improvement in the quality of requirements, but also an improvement in the writing skills of requirements engineers. © 2011 Springer-Verlag London Limited.</t>
  </si>
  <si>
    <t>18</t>
  </si>
  <si>
    <t>10.1007/s00766-011-0134-z</t>
  </si>
  <si>
    <t>https://www.scopus.com/inward/record.uri?eid=2-s2.0-84874008264&amp;doi=10.1007%2fs00766-011-0134-z&amp;partnerID=40&amp;md5=3a1bdb595fa9a7dfe23f3b33c9fabc99</t>
  </si>
  <si>
    <t>Gerancon B.; Trudel S.</t>
  </si>
  <si>
    <t>Gerancon, Bruel (57197775578); Trudel, Sylvie (12645219300)</t>
  </si>
  <si>
    <t>57197775578; 12645219300</t>
  </si>
  <si>
    <t>Improving Quality of Software Requirements by Using a Triplet Structure</t>
  </si>
  <si>
    <t>The development of a quality software system is a priority in the domain of software engineering. Quality requires to define unambiguous and consistent requirements that are not conducive to various interpretations. Indeed, the success of the realization of a software system depends largely on the phase of software requirements specification. The requirements specification phase consists, among other things, in describing in a precise and unambiguous manner the characteristics of the system to be developed. Moreover, the techniques for writing software specification documents used in the industry don't facilitate to define unambiguous and consistent requirements. In industry, software requirements are often written in natural language, and no technical details are specified. Thus, software requirements are incomplete, inconsistent and prone to ambiguities, and therefore interpretation errors can easily be made by analysts. This article introduces a new technique for writing and developing software requirements that could help to reduce the ambiguities and inconsistencies in the document of specification software requirements. Our technique is validated by the development of a new tool that detects the ambiguities and inconsistencies in the software requirements, and generates the potential methods and classes from requirements written in natural language. Our tool integrates a set of techniques in natural language processing (NLP), and in artificial intelligence which helps to improve the software requirements quality. © 2022 IEEE.</t>
  </si>
  <si>
    <t>Proceedings - 2022 International Conference on Computational Science and Computational Intelligence, CSCI 2022</t>
  </si>
  <si>
    <t>10.1109/CSCI58124.2022.00339</t>
  </si>
  <si>
    <t>https://www.scopus.com/inward/record.uri?eid=2-s2.0-85171987867&amp;doi=10.1109%2fCSCI58124.2022.00339&amp;partnerID=40&amp;md5=39b64b569b13fb278075183a62c9a43c</t>
  </si>
  <si>
    <t>Ghofrani, J.; Kozegar, E.; Soorati, M. D.; Bozorgmehr, A.; Chen, H.; Naake, M.</t>
  </si>
  <si>
    <t>Ghofrani, Javad; Kozegar, Ehsan; Soorati, Mohammad Divband; Bozorgmehr, Arezoo; Chen, Hongfei; Naake, Maximilian</t>
  </si>
  <si>
    <t>Repository for Reusing Artifacts of Artificial Neural Networks</t>
  </si>
  <si>
    <t>Artificial Neural Networks (ANNs) replaced conventional software systems in various domains such as machine translation, natural language processing, and image processing. So, why do we need an repository for artificial neural networks? Those systems are developed with labeled data and we have strong dependencies between the data that is used for training and testing our network. Another challenge is the data quality as well as reuse-ability. There we are trying to apply concepts from classic software engineering that is not limited to the model, while data and code haven't been dealt with mostly in other projects. The first question that comes to mind might be, why don't we use GitHub, a well known widely spread tool for reuse, for our issue. And the reason why is that GitHub, although very good in its class is not developed for machine learning appliances and focuses more on software reuse. In addition to that GitHub does not allow to execute the code directly on the platform which would be very convenient for collaborative work on one project.</t>
  </si>
  <si>
    <t>10.48550/arXiv.2003.13619</t>
  </si>
  <si>
    <t>https://arxiv.org/abs/2003.13619</t>
  </si>
  <si>
    <t>Gilson F.; Galster M.; Georis F.</t>
  </si>
  <si>
    <t>Gilson, Fabian (25653610500); Galster, Matthias (15622873800); Georis, Francois (57209109216)</t>
  </si>
  <si>
    <t>25653610500; 15622873800; 57209109216</t>
  </si>
  <si>
    <t>Extracting Quality Attributes from User Stories for Early Architecture Decision Making</t>
  </si>
  <si>
    <t>Software quality attributes (e.g., security, performance) influence software architecture design decisions, e.g., when choosing technologies, patterns or tactics. As software developers are moving from big upfront design to an evolutionary or emerging design, the architecture of a system evolves as more functionality is added. In agile software development, functional user requirements are often expressed as user stories. Quality attributes might be implicitly referenced in user stories. To support a more systematic analysis and reasoning about quality attributes in agile development projects, this paper explores how to automatically identify quality attributes from user stories. This could help better understand relevant quality attributes (and potential architectural key drivers) before analysing product backlogs and domains in detail and provides the 'bigger picture' of potential architectural drivers for early architecture decision making. The goal of this paper is to present our vision and preliminary work towards understanding whether user stories do include information about quality attributes at all, and if so, how we can identify such information in an automated manner. © 2019 IEEE.</t>
  </si>
  <si>
    <t>Proceedings - 2019 IEEE International Conference on Software Architecture - Companion, ICSA-C 2019</t>
  </si>
  <si>
    <t>8712367</t>
  </si>
  <si>
    <t>10.1109/ICSA-C.2019.00031</t>
  </si>
  <si>
    <t>https://www.scopus.com/inward/record.uri?eid=2-s2.0-85066460710&amp;doi=10.1109%2fICSA-C.2019.00031&amp;partnerID=40&amp;md5=787cad6f54f9241571c8b8babc94869c</t>
  </si>
  <si>
    <t>Gilson, Fabian (25653610500); Galster, Matthias (15622873800); Georis, François (57209109216)</t>
  </si>
  <si>
    <t>Generating use case scenarios from user stories</t>
  </si>
  <si>
    <t>Textual user stories capture interactions of users with the system as high-level requirements. However, user stories are typically rather short and backlogs can include many stories. This makes it hard to (a) maintain user stories and backlogs, (b) fully understand the scope of a software project without a detailed analysis of the backlog, and (c) analyse how user stories impact design decisions during sprint planning and implementation. This paper proposes a technique to automatically transform textual user stories into visual use case scenarios in the form of robustness diagrams (a semi-formal scenario-based visualisation of workflows). In addition to creating diagrams for individual stories, the technique allows combining diagrams of multiple stories into one diagram to visualise workflows within sets of stories (e.g., a backlog). Moreover, the technique supports "viewpoint-based"diagrams, i.e., diagrams that show relationships between actors, domain entities and user interfaces starting from a diagram element (e.g., an actor) selected by the analyst. The technique utilises natural language processing and rule-based transformations. We evaluated the technique with more than 1,400 user stories from 22 backlogs and show that (a) the technique generates syntactically valid robustness diagrams, and (b) the quality of automatically generated robustness diagrams compares to the quality of diagrams created by human experts, but depends on the quality of the textual user stories.  © 2020 ACM.</t>
  </si>
  <si>
    <t>Proceedings - 2020 IEEE/ACM International Conference on Software and System Processes, ICSSP 2020</t>
  </si>
  <si>
    <t>10.1145/3379177.3388895</t>
  </si>
  <si>
    <t>https://www.scopus.com/inward/record.uri?eid=2-s2.0-85092535383&amp;doi=10.1145%2f3379177.3388895&amp;partnerID=40&amp;md5=314b673667be9e1fd517959c179f07cc</t>
  </si>
  <si>
    <t>Gilson F.; Irwin C.</t>
  </si>
  <si>
    <t>Gilson, Fabian (25653610500); Irwin, Calum (57205668037)</t>
  </si>
  <si>
    <t>25653610500; 57205668037</t>
  </si>
  <si>
    <t>From user stories to use case scenarios towards a generative approach</t>
  </si>
  <si>
    <t>User stories are increasingly adopted as the basis of requirement engineering artefacts in Agile Software Development. Surveys have shown that user stories are perceived as being effective at describing the main goals of a system. But the continuous management of a product backlog may be particularly time-consuming and error-prone, especially when assessing the quality or scope of user stories and keeping an eye on the system's big picture. On the other hand, models have been recognised as effective tools for communication and analysis purposes. In this research, we propose a generative approach to create robustness diagrams, i.e. a form of semi-formal use case scenarios, from the automated analysis of user stories. Stories are transformed into diagrams, enabling requirement engineers and users to validate the main concepts and functional steps behind stories and discover malformed or redundant stories. Such models also open the door for automated systematic analysis. © 2018 IEEE.</t>
  </si>
  <si>
    <t>Proceedings - 25th Australasian Software Engineering Conference, ASWEC 2018</t>
  </si>
  <si>
    <t>8587287</t>
  </si>
  <si>
    <t>10.1109/ASWEC.2018.00016</t>
  </si>
  <si>
    <t>https://www.scopus.com/inward/record.uri?eid=2-s2.0-85061061819&amp;doi=10.1109%2fASWEC.2018.00016&amp;partnerID=40&amp;md5=497e1b40befe7d31be336fcbced9f6c1</t>
  </si>
  <si>
    <t>Gleich B.; Creighton O.; Kof L.</t>
  </si>
  <si>
    <t>Gleich, Benedikt (36245343200); Creighton, Oliver (57224432691); Kof, Leonid (56618519700)</t>
  </si>
  <si>
    <t>36245343200; 57224432691; 56618519700</t>
  </si>
  <si>
    <t>Ambiguity detection: Towards a tool explaining ambiguity sources</t>
  </si>
  <si>
    <t>[Context and motivation] Natural language is the main representation means of industrial requirements documents, which implies that requirements documents are inherently ambiguous. There exist guidelines for ambiguity detection, such as the Ambiguity Handbook [1]. In order to detect ambiguities according to the existing guidelines, it is necessary to train analysts. [Question/problem] Although ambiguity detection guidelines were extensively discussed in literature, ambiguity detection has not been automated yet. Automation of ambiguity detection is one of the goals of the presented paper. More precisely, the approach and tool presented in this paper have three goals: (1) to automate ambiguity detection, (2) to make plausible for the analyst that ambiguities detected by the tool represent genuine problems of the analyzed document, and (3) to educate the analyst by explaining the sources of the detected ambiguities. [Principal ideas/results] The presented tool provides reliable ambiguity detection, in the sense that it detects four times as many genuine ambiguities as than an average human analyst. Furthermore, the tool offers high precision ambiguity detection and does not present too many false positives to the human analyst. [Contribution] The presented tool is able both to detect the ambiguities and to explain ambiguity sources. Thus, besides pure ambiguity detection, it can be used to educate analysts, too. Furthermore, it provides a significant potential for considerable time and cost savings and at the same time quality improvements in the industrial requirements engineering. © 2010 Springer-Verlag.</t>
  </si>
  <si>
    <t>6182 LNCS</t>
  </si>
  <si>
    <t>10.1007/978-3-642-14192-8_20</t>
  </si>
  <si>
    <t>https://www.scopus.com/inward/record.uri?eid=2-s2.0-77955464250&amp;doi=10.1007%2f978-3-642-14192-8_20&amp;partnerID=40&amp;md5=b8aab8508fd6f145efe978454c7d7c44</t>
  </si>
  <si>
    <t>Gnanasekaran R.K.; Chakraborty S.; Dehlinger J.; Deng L.</t>
  </si>
  <si>
    <t>Gnanasekaran, Rajesh Kumar (57195283297); Chakraborty, Suranjan (23666293600); Dehlinger, Josh (10143022300); Deng, Lin (55142608500)</t>
  </si>
  <si>
    <t>57195283297; 23666293600; 10143022300; 55142608500</t>
  </si>
  <si>
    <t>Using recurrent neural networks for classification of natural language-based non-functional requirements</t>
  </si>
  <si>
    <t>In software projects, non-functional software requirements (NFRs) are critical because they specify system quality and constraints. As NFRs are in natural language, accurately analyzing NFRs requires domain knowledge, expertise, and significant human efforts. Automated approaches that can help identify and classify NFRs can lead to reduced ambiguity and misunderstanding among software engineers, decreasing developmental costs and increasing software quality. This paper investigates the effectiveness of leveraging machine learning techniques to automatically classify various types of NFRs. Specifically, we develop and train a recurrent neural network model, which has been evaluated to be effective in handling sequential natural language text, to classify natural language NFRs into five different categories: maintainability, operability, performance, security, and usability. We evaluate and detail insights from the experimental study performed on two data sets that contain almost 1,000 NFRs. The experimental results show that this approach can classify NFRs with a precision average of 84%, recall of 85%, F1-score near 84%, and classification accuracy of 88% on the testing data set. As indicated by the results, applying appropriate machine learning techniques can help reduce manual efforts, eliminate human mistakes, facilitate the software requirements analysis process, and lessen developmental costs. © 2021 CEUR-WS. All rights reserved.</t>
  </si>
  <si>
    <t>https://www.scopus.com/inward/record.uri?eid=2-s2.0-85105594735&amp;partnerID=40&amp;md5=3481a6af2d56ad341e9baac10996f72e</t>
  </si>
  <si>
    <t>Gnesi S.; Lami G.; Trentanni G.; Fabbrini F.; Fusani M.</t>
  </si>
  <si>
    <t>Gnesi, Stefania (6603718373); Lami, Giuseppe (23111249400); Trentanni, Gianluca (16640874900); Fabbrini, Fabrizio (6603346685); Fusani, Mario (18436675600)</t>
  </si>
  <si>
    <t>6603718373; 23111249400; 16640874900; 6603346685; 18436675600</t>
  </si>
  <si>
    <t>An automatic tool for the analysis of natural language requirements</t>
  </si>
  <si>
    <t>Using automatic tools for the quality analysis of Natural Language (NL) requirements is recognized as a key factor for achieving software quality. Unfortunately few tools and techniques for the NL requirements analysis are currently available. This paper presents a methodology and a tool (called QuARS - Quality Analyzer for Requirement Specifications) for analyzing NL requirements in a systematic and automatic way. QuARS allows requirements engineers to perform an initial parsing of the requirements in order to automatically detect potential linguistic defects that could cause interpretation problems at subsequent stages in developing the software. This tool is also able to partially support the consistency and completeness analysis by clustering the requirements according to specific topics.</t>
  </si>
  <si>
    <t>Computer Systems Science and Engineering</t>
  </si>
  <si>
    <t>20</t>
  </si>
  <si>
    <t>https://www.scopus.com/inward/record.uri?eid=2-s2.0-13244262820&amp;partnerID=40&amp;md5=e963c5dde539a1a457f29d37ac23968d</t>
  </si>
  <si>
    <t>Gnesi S.; Trentanni G.</t>
  </si>
  <si>
    <t>Gnesi, Stefania (6603718373); Trentanni, Gianluca (16640874900)</t>
  </si>
  <si>
    <t>6603718373; 16640874900</t>
  </si>
  <si>
    <t>QuARS: A NLP tool for requirements analysis</t>
  </si>
  <si>
    <t>QuARS (Quality Analyzer for Requirements Specifications) is a tool able to perform an analysis of Natural Language (NL) requirements in a systematic and an automatic way by means of natural language processing techniques with a focus on ambiguity detection. QuARS allows the requirements engineers to perform an early analysis of the requirements for automatically detecting potential linguistic defects. Copyright © 2019 by the paper’s authors.</t>
  </si>
  <si>
    <t>https://www.scopus.com/inward/record.uri?eid=2-s2.0-85068049537&amp;partnerID=40&amp;md5=ebe401d150a132c9f61eb003bed3d0ec</t>
  </si>
  <si>
    <t>Gorer B.; Aydemir F.B.</t>
  </si>
  <si>
    <t>Gorer, Binnur (55806879700); Aydemir, Fatma Basak (55880322200)</t>
  </si>
  <si>
    <t>55806879700; 55880322200</t>
  </si>
  <si>
    <t>Generating Requirements Elicitation Interview Scripts with Large Language Models</t>
  </si>
  <si>
    <t>Requirements elicitation interviews are the most popular requirements elicitation technique and an integral part of requirements engineering education. Good and bad interview scripts provide students with examples of applying the theory. Constructing an interview script requires technical knowledge, practical experience, and creativity. As a result, only a few educational interview scripts are available to the community. This paper explores automatically generating interview scripts with large language models through prompt engineering. Our contribution is two-fold: First, we present a graph representation of interactive interview scripts. Second, we apply prompt engineering techniques to generate business domain descriptions, linear scripts, and conversation pieces focused on certain types of mistakes. Our findings indicate that large language models face challenges in handling interview conversation graphs. However, we can enhance the quality of the generated interview scripts by decomposing the task into smaller components and refining the prompts to provide more precise instructions.  © 2023 IEEE.</t>
  </si>
  <si>
    <t>Proceedings - 31st IEEE International Requirements Engineering Conference Workshops, REW 2023</t>
  </si>
  <si>
    <t>10.1109/REW57809.2023.00015</t>
  </si>
  <si>
    <t>https://www.scopus.com/inward/record.uri?eid=2-s2.0-85172431302&amp;doi=10.1109%2fREW57809.2023.00015&amp;partnerID=40&amp;md5=15427b726d1d8a96959cb813af87ccc5</t>
  </si>
  <si>
    <t>Gramajo, M. G.; Ballejos, L.; Ale, M.</t>
  </si>
  <si>
    <t>Gramajo, María Guadalupe; Ballejos, Luciana; Ale, Mariel</t>
  </si>
  <si>
    <t>Recurrent Neural Networks to automate Quality assessment of Software Requirements</t>
  </si>
  <si>
    <t>Many problems related to the quality of requirements arise during elicitation and specification activities since they are written in natural language. The flexibility and inherent nature of language make requirements prone to inconsistencies, redundancies, and ambiguities, and consequently, this influences negatively the later phases of the software life cycle. To address this problem, this paper proposes an innovative approach that combines natural language processing techniques and recurrent neural networks to automatically assess the quality of software requirements. Initially, the analysis of singular, complete, correct, and appropriate quality properties defined in the IEEE 29148: 2018 standard is addressed. The proposed neural models are trained with a data set composed of 1000 software requirements. The proposal provides an average accuracy of 75%. These promising results were a motivation to explore its application in the evaluation of other quality properties</t>
  </si>
  <si>
    <t>10.48550/arXiv.2105.04757</t>
  </si>
  <si>
    <t>https://arxiv.org/abs/2105.04757v2</t>
  </si>
  <si>
    <t>Grober K.; Rukavitsyna M.; Jurjens J.</t>
  </si>
  <si>
    <t>Grober, Katharina (58654121200); Rukavitsyna, Marina (58653506100); Jurjens, Jan (6602757070)</t>
  </si>
  <si>
    <t>58654121200; 58653506100; 6602757070</t>
  </si>
  <si>
    <t>A Comparative Evaluation of Requirement Template Systems</t>
  </si>
  <si>
    <t>Context: Multiple semi-formal syntax templates for natural language requirements foster to reduce ambiguity while preserving readability. Yet, existing studies on their effectiveness do not allow to systematically investigate quality benefits and compare different notations. Objectives: We strive for a comparative benchmark and evaluation of template systems to support practitioners in selecting template systems and enable researchers to work on pinpoint improvements and domain-specific adaptions. Methods: We conduct a comparative experiment with a control group of free-text requirements and treatment groups of their variants following different templates. We compare effects on metrics systematically derived from quality guidelines. Results: We present a benchmark consisting of a systematically derived metric suite over seven relevant quality categories and a dataset of 1764 requirements, comprising 249 free-text forms from five projects and variants in five template systems. We evaluate effects in comparison to free text. Except for one template system, all have solely positive effects in all categories. Conclusions: The proposed benchmark enables the identification of the relative strengths and weaknesses of different template systems. Results show that templates can generally improve quality compared to free text. Although MASTER leads the field, there is no conclusive favourite choice, as overall effect sizes are relatively similar.  © 2023 IEEE.</t>
  </si>
  <si>
    <t>10.1109/RE57278.2023.00014</t>
  </si>
  <si>
    <t>https://www.scopus.com/inward/record.uri?eid=2-s2.0-85174388076&amp;doi=10.1109%2fRE57278.2023.00014&amp;partnerID=40&amp;md5=615033a8d304b6770ce1ee41afd689a3</t>
  </si>
  <si>
    <t>Gröpler R.; Kutty L.; Sudhi V.; Smalley D.</t>
  </si>
  <si>
    <t>Gröpler, Robin (57274289800); Kutty, Libin (57226684545); Sudhi, Viju (57226695685); Smalley, Daran (57612819100)</t>
  </si>
  <si>
    <t>57274289800; 57226684545; 57226695685; 57612819100</t>
  </si>
  <si>
    <t>Automated Requirement Formalization Using Product Design Specifications</t>
  </si>
  <si>
    <t>Assuring the quality of complex and highly configurable software systems is a demanding and time-consuming process. Especially for safety-critical systems, extensive testing based on requirements is necessary. Methods for model-based test automation in agile software development offer the possibility to overcome these difficulties. However, it is still a major effort to create formal models from functional requirements in natural language on a large scale. In this paper, we present and evaluate automated support for the requirements formalization process to reduce cost and effort. We present a new approach based on Natural Language Processing (NLP) and textual similarity using requirements and product design specifications to generate human- and machine-readable models. The method is evaluated on an industrial use case from the railway domain. The recommended requirement models for the considered propulsion system show an average accuracy of more than 90% and an exact match of the entire models of about 55%. These results show that our approach can support the requirements formalization process, which can be further used for test case generation and execution, as well as for requirements and design verification. © 2022 Copyright for this paper by its authors</t>
  </si>
  <si>
    <t>https://www.scopus.com/inward/record.uri?eid=2-s2.0-85128715774&amp;partnerID=40&amp;md5=6e87b52c6b3aaa7186831eb9b0d81717</t>
  </si>
  <si>
    <t>Gudaparthi H.; Niu N.; Yang Y.; Van Doren M.; Johnson R.</t>
  </si>
  <si>
    <t>Gudaparthi, Hemanth (57219439856); Niu, Nan (36856329200); Yang, Yilong (57201588421); Van Doren, Matthew (57203717222); Johnson, Reese (36863894500)</t>
  </si>
  <si>
    <t>57219439856; 36856329200; 57201588421; 57203717222; 36863894500</t>
  </si>
  <si>
    <t>Deep learning's fitness for purpose: A transformation problem frame's perspective</t>
  </si>
  <si>
    <t>Combined sewer overflows represent significant risks to human health as untreated water is discharged to the environment. Municipalities, such as the Metropolitan Sewer District of Greater Cincinnati (MSDGC), recently began collecting large amounts of water-related data and considering the adoption of deep learning (DL) solutions like recurrent neural network (RNN) for predicting overflow events. Clearly, assessing the DL's fitness for the purpose requires a systematic understanding of the problem context. In this study, we propose a requirements engineering framework that uses the problem frames to identify and structure the stakeholder concerns, analyses the physical situations in which the high-quality data assumptions may not hold, and derives the software testing criteria in the form of metamorphic relations that incorporate both input transformations and output comparisons. Applying our framework to MSDGC's overflow prediction problem enables a principled way to evaluate different RNN solutions in meeting the requirements. © 2023 The Authors. CAAI Transactions on Intelligence Technology published by John Wiley &amp; Sons Ltd on behalf of The Institution of Engineering and Technology and Chongqing University of Technology.</t>
  </si>
  <si>
    <t>CAAI Transactions on Intelligence Technology</t>
  </si>
  <si>
    <t>10.1049/cit2.12237</t>
  </si>
  <si>
    <t>https://www.scopus.com/inward/record.uri?eid=2-s2.0-85161611132&amp;doi=10.1049%2fcit2.12237&amp;partnerID=40&amp;md5=4d4c6d0e05e68f09aa76050ef8304a98</t>
  </si>
  <si>
    <t>Gulle K.J.; Ford N.; Ebel P.; Brokhausen F.; Vogelsang A.</t>
  </si>
  <si>
    <t>Gulle, Kim Julian (57219756169); Ford, Nicholas (57219765177); Ebel, Patrick (57215898440); Brokhausen, Florian (57208177154); Vogelsang, Andreas (56254083200)</t>
  </si>
  <si>
    <t>57219756169; 57219765177; 57215898440; 57208177154; 56254083200</t>
  </si>
  <si>
    <t>Topic Modeling on User Stories using Word Mover's Distance</t>
  </si>
  <si>
    <t>Requirements elicitation has recently been complemented with crowd-based techniques, which continuously involve large, heterogeneous groups of users who express their feedback through a variety of media. Crowd-based elicitation has great potential for engaging with (potential) users early on but also results in large sets of raw and unstructured feedback. Consolidating and analyzing this feedback is a key challenge for turning it into sensible user requirements. In this paper, we focus on topic modeling as a means to identify topics within a large set of crowd-generated user stories and compare three approaches: (1) a traditional approach based on Latent Dirichlet Allocation, (2) a combination of word embeddings and principal component analysis, and (3) a combination of word embeddings and Word Mover's Distance. We evaluate the approaches on a publicly available set of 2,966 user stories written and categorized by crowd workers. We found that a combination of word embeddings and Word Mover's Distance is most promising. Depending on the word embeddings we use in our approaches, we manage to cluster the user stories in two ways: one that is closer to the original categorization and another that allows new insights into the dataset, e.g. to find potentially new categories. Unfortunately, no measure exists to rate the quality of our results objectively. Still, our findings provide a basis for future work towards analyzing crowd-sourced user stories.  © 2020 IEEE.</t>
  </si>
  <si>
    <t>9233031</t>
  </si>
  <si>
    <t>10.1109/AIRE51212.2020.00015</t>
  </si>
  <si>
    <t>https://www.scopus.com/inward/record.uri?eid=2-s2.0-85096998085&amp;doi=10.1109%2fAIRE51212.2020.00015&amp;partnerID=40&amp;md5=01ce23b5dc29e3c41aff4a220365cf0b</t>
  </si>
  <si>
    <t>Habib M.K.; Wagner S.; Graziotin D.</t>
  </si>
  <si>
    <t>Habib, Mohammad Kasra (57222110532); Wagner, Stefan (55286051900); Graziotin, Daniel (55872109600)</t>
  </si>
  <si>
    <t>57222110532; 55286051900; 55872109600</t>
  </si>
  <si>
    <t>Detecting Requirements Smells with Deep Learning: Experiences, Challenges and Future Work</t>
  </si>
  <si>
    <t>Requirements Engineering (RE) is one of the initial phases when building a software system. The success or failure of a software project is firmly tied to this phase, based on communication among stakeholders using natural language. The problem with natural language is that it can easily lead to different understandings if it is not expressed precisely by the stakeholders involved. This results in building a product which is different from the expected one. Previous work proposed to enhance the quality of the software requirements by detecting language errors based on ISO 29148 requirements language criteria. The existing solutions apply classical Natural Language Processing (NLP) to detect them. NLP has some limitations, such as domain dependability which results in poor generalization capability. Therefore, this work aims to improve the previous work by creating a manually labeled dataset and using ensemble learning, Deep Learning (DL), and techniques such as word embeddings and transfer learning to overcome the generalization problem that is tied with classical NLP and improve precision and recall metrics using a manually labeled dataset. The current findings show that the dataset is unbalanced and which class examples should be added more. It is tempting to train algorithms even if the dataset is not considerably representative. Whence, the results show that models are overfitting; in Machine Learning this issue is adressed by adding more instances to the dataset, improving label quality, removing noise, and reducing the learning algorithms complexity, which is planned for this research.  © 2021 IEEE.</t>
  </si>
  <si>
    <t>2021-September</t>
  </si>
  <si>
    <t>10.1109/REW53955.2021.00027</t>
  </si>
  <si>
    <t>https://www.scopus.com/inward/record.uri?eid=2-s2.0-85118447318&amp;doi=10.1109%2fREW53955.2021.00027&amp;partnerID=40&amp;md5=b6a1a97c3e002134847cd7b87e2e43c3</t>
  </si>
  <si>
    <t>Habib, M. K.: Wagner, S.; Graziotin, D.</t>
  </si>
  <si>
    <t>Habib, Mohammad Kasra: Wagner, Stefan; Graziotin, Daniel</t>
  </si>
  <si>
    <t>Detecting Requirements Smells With Deep Learning: Experiences, Challenges and Future Work</t>
  </si>
  <si>
    <t>2021 IEEE 29th International Requirements Engineering Conference Workshops (REW)</t>
  </si>
  <si>
    <t>10.1109/rew53955.2021.00027</t>
  </si>
  <si>
    <t>https://arxiv.org/abs/2108.03087v1</t>
  </si>
  <si>
    <t>Hasegawa R.; Kitamura M.; Kaiya H.; Saeki M.</t>
  </si>
  <si>
    <t>Hasegawa, Ryo (7202408857); Kitamura, Motohiro (27067789300); Kaiya, Haruhiko (7005774962); Saeki, Motoshi (7202299264)</t>
  </si>
  <si>
    <t>7202408857; 27067789300; 7005774962; 7202299264</t>
  </si>
  <si>
    <t>Extracting conceptual graphs from Japanese documents for software requirements modeling</t>
  </si>
  <si>
    <t>A requirements analysis step plays a significant role on the development of information systems, and in this step we produce various kinds of abstract models of the systems (called requirements models) according to the adopted development processes, e.g. class diagrams in the case of adopting object-oriented development. However, constructing these models of sufficient quality requires highest intellectual tasks and skills of human requirements analysts. In this paper, we develop a computerized tool to extract from a set of Japanese text documents conceptual information, called conceptual graph, which can be used as intermediate representation to generate software requirements models. More concretely, by applying the variation of text-mining techniques that we have developed, we extract significant words from text documents referring to the same problem domain and identify relevant relationships among them. The extracted words can be considered as concepts and they are constituents of a conceptual graph in the domain. This constructed graph can be used for generating requirements models, e.g. object oriented models, feature model, and even as a domain ontology that can be utilized during requirements analysis activities. We have made experimental analyses of our tool. This paper also includes the discussion on how the extracted conceptual graph can act as an object-oriented model, a feature model and a domain ontology, in order to show its wide applicability. Copyright © 2009, Australian Computer Society, Inc.</t>
  </si>
  <si>
    <t>Conferences in Research and Practice in Information Technology Series</t>
  </si>
  <si>
    <t>96</t>
  </si>
  <si>
    <t>https://www.scopus.com/inward/record.uri?eid=2-s2.0-84864554839&amp;partnerID=40&amp;md5=c644e2930c0302e0ad5c4dbd73d555c8</t>
  </si>
  <si>
    <t>Hassan T.; Hassan S.</t>
  </si>
  <si>
    <t>Hassan, Taimoor (59053366100); Hassan, Shoaib (56278709800)</t>
  </si>
  <si>
    <t>59053366100; 56278709800</t>
  </si>
  <si>
    <t>Notice of Removal: Design semantic framework for software requirement specification</t>
  </si>
  <si>
    <t>In the recent past, domain specific solutions for detailed semantic analysis have got acceptable by natural language processing community and use of applications involving natural language based user interface. Different approaches that has been previously used is focusing on quality of text and improving the text contents by adding semantic information with text then the existing approaches used for semantic analysis can provide better results. In this, an approach was presented to address the problem of non- availability of semantic information required for better semantic analysis. This problem is solved by using semantic technology to annotate text of software requirements expressed in a natural language with their domain specific semantics and investigate the effect of semantic analysis with attached semantics. The presented approach uses a semantic framework specifically designed for interpretation and detailed semantic analysis of natural language software requirement specifications. The used framework is based on semantic technology involves knowledge extracted from existing software requirement documents and knowledge extracted from existing applications. The presented approach shows that by adapting and combing existing ontologies to support knowledge management, developing system and performing experiments on requirement of real world software systems. In this approach start with software requirement specification, after this clean the irrelevant requirements, convert the cleaned requirements into graph that represents inter related different elements. Represent the requirement graph into sparse matrix, after these all steps; we generate ontology with the help of OntoGen tool. © 2016 IEEE.</t>
  </si>
  <si>
    <t>2016 6th International Conference on IT Convergence and Security, ICITCS 2016</t>
  </si>
  <si>
    <t>7740324</t>
  </si>
  <si>
    <t>10.1109/ICITCS.2016.7740324</t>
  </si>
  <si>
    <t>https://www.scopus.com/inward/record.uri?eid=2-s2.0-85006323930&amp;doi=10.1109%2fICITCS.2016.7740324&amp;partnerID=40&amp;md5=3b43470a11fbe0fa0eb61ecd29fa97d7</t>
  </si>
  <si>
    <t>Retracted</t>
  </si>
  <si>
    <t>Hassan T.; Hassan S.; Yar M.A.; Younas W.</t>
  </si>
  <si>
    <t>Hassan, Taimoor (59053366100); Hassan, Shoaib (56278709800); Yar, Muhammad Asfand (57193623515); Younas, Waleed (57193625622)</t>
  </si>
  <si>
    <t>59053366100; 56278709800; 57193623515; 57193625622</t>
  </si>
  <si>
    <t>Semantic analysis of natural language software requirement</t>
  </si>
  <si>
    <t>In the recent past, domain specific solutions for detailed semantic analysis have got acceptable by natural language processing community and use of applications involving natural language based user interface. Different approaches that has been previously used is focusing on quality of text and improving the text contents by adding semantic information with text then the existing approaches used for semantic analysis can provide better results. In this, an approach was presented to address the problem of non-availability of semantic information required for better semantic analysis. This problem is solved by using semantic technology to annotate text of software requirements expressed in a natural language with their domain specific semantics and investigate the effect of semantic analysis with attached semantics. The presented approach uses a semantic framework specifically designed for interpretation and detailed semantic analysis of natural language software requirement specifications. The used framework is based on semantic technology involves knowledge extracted from existing software requirement documents and knowledge extracted from existing applications. The presented approach shows that by adapting and combing existing ontologies to support knowledge management, developing system and performing experiments on requirement of real world software systems. In this approach start with software requirement specification, after this clean the irrelevant requirements, convert the cleaned requirements into graph that represents inter related different elements. Represent the requirement graph into sparse matrix, after these all steps; we generate ontology with the help of OntoGen tool. © 2016 IEEE.</t>
  </si>
  <si>
    <t>2016 6th International Conference on Innovative Computing Technology, INTECH 2016</t>
  </si>
  <si>
    <t>7845013</t>
  </si>
  <si>
    <t>10.1109/INTECH.2016.7845013</t>
  </si>
  <si>
    <t>https://www.scopus.com/inward/record.uri?eid=2-s2.0-85015300821&amp;doi=10.1109%2fINTECH.2016.7845013&amp;partnerID=40&amp;md5=2c6d1a24ff6950a82b20f9113c25e9e7</t>
  </si>
  <si>
    <t>Hu J.; Hu J.; Wang W.; Kang J.; Wang H.; Gao Z.</t>
  </si>
  <si>
    <t>Hu, Jun (57198193833); Hu, Jiancheng (57221134509); Wang, Wenxuan (57211139086); Kang, Jiexiang (57211391876); Wang, Hui (57216290974); Gao, Zhongjie (57217006261)</t>
  </si>
  <si>
    <t>57198193833; 57221134509; 57211139086; 57211391876; 57216290974; 57217006261</t>
  </si>
  <si>
    <t>Constructing formal specification models from domain specific natural language requirements</t>
  </si>
  <si>
    <t>One important way to improve the quality of safety-critical software is to produce a good software requirement satisfying several key properties, such as: integrity, consistency, and well organized, etc. Our work is based on airborne software domain, and propose a framework to translate the software requirements, which are itemized with domain natural language in avionics, effectively into a formal specification model VRM (Variable Relation Model), which has table-style structures with formal semantics. Firstly, considering avionics domain characteristics, a domain concept library is established including different types of variables and concepts. Then, a set of domain-oriented requirements templates are defined, such as: general event/condition, display event/condition, etc. According to VRM model element semantics, three types model construction algorithms are designed to complete the translation automatically. And in the case study, the Engine Indication and Crew Warning System (EICAS) was selected to show how to construct formal models from natural language requirements.  © 2020 IEEE.</t>
  </si>
  <si>
    <t>Proceedings - 2020 6th International Symposium on System and Software Reliability, ISSSR 2020</t>
  </si>
  <si>
    <t>9265877</t>
  </si>
  <si>
    <t>10.1109/ISSSR51244.2020.00017</t>
  </si>
  <si>
    <t>https://www.scopus.com/inward/record.uri?eid=2-s2.0-85098324503&amp;doi=10.1109%2fISSSR51244.2020.00017&amp;partnerID=40&amp;md5=a89cd94768651813a00341752759776d</t>
  </si>
  <si>
    <t>Husain M.S.; Akheela Khanum M.</t>
  </si>
  <si>
    <t>Husain, Mohd Shahid (57158683400); Akheela Khanum, M. (57191279738)</t>
  </si>
  <si>
    <t>57158683400; 57191279738</t>
  </si>
  <si>
    <t>Word sense disambiguation in software requirement specifications using Wordnet and association mining rule</t>
  </si>
  <si>
    <t>The most significant phase in the development of a quality software project is Requirement engineering. The objective of the software requirement engineering is the elicitation of the requirements of the clients and their analysis. In general the requirements are expressed in natural languages which are ambiguous in nature. Ambiguity means the same word or sentence can be interpreted differently by different persons. The Word Sense Disambiguation (WSD) system assigns the correct meaning to the words having multiple interpretations, depending on the context of use. In this paper, we propose a framework, for removing ambiguities in an SRS (Software Requirement Specifications) document in an efficient way. This framework uses the WordNet and the concept of Association rule mining for assigning the correct interpretation of a word in given context. © 2016 ACM.</t>
  </si>
  <si>
    <t>04-05-March-2016</t>
  </si>
  <si>
    <t>a119</t>
  </si>
  <si>
    <t>10.1145/2905055.2905179</t>
  </si>
  <si>
    <t>https://www.scopus.com/inward/record.uri?eid=2-s2.0-84988569355&amp;doi=10.1145%2f2905055.2905179&amp;partnerID=40&amp;md5=2d9c7d757083300badbb6791ab3e6865</t>
  </si>
  <si>
    <t>Hussain I.; Kosseim L.; Ormandjieva O.</t>
  </si>
  <si>
    <t>Hussain, Ishrar (57197701534); Kosseim, Leila (23089125200); Ormandjieva, Olga (57203257339)</t>
  </si>
  <si>
    <t>57197701534; 23089125200; 57203257339</t>
  </si>
  <si>
    <t>Using linguistic knowledge to classify non-functional requirements in SRS documents</t>
  </si>
  <si>
    <t>Non-functional Requirements (NFRs) such as software quality attributes, software design constraints and software interface requirements hold crucial information about the constraints on the software system under development and its behavior. NFRs are subjective in nature and have a broad impact on the system as a whole. Being distinct from Functional Requirements (FR), NFRs are dealt with special attention, as they play an integral role during software modeling and development. However, since Software Requirements Specification (SRS) documents, in practice, are written in natural language, solely holding the perspectives of the clients, the documents often end up with FR and NFR statements mixed together in the same paragraphs. It is, therefore, left upon the software analysts to classify and separate them manually. The research, presented in this paper, aims to automate the process of detecting NFR sentences by using a text classifier equipped with a part-of-speech (POS) tagger. The results reported in this paper outperform the recent work in the field, and achieved a higher accuracy of 98.56% using 10-folds-cross-validation over the same data used in the literature. The research reported in this paper is part of a larger project aimed at applying Natural Language Processing techniques in Software Requirements Engineering. © 2008 Springer-Verlag Berlin Heidelberg.</t>
  </si>
  <si>
    <t>5039 LNCS</t>
  </si>
  <si>
    <t>10.1007/978-3-540-69858-6_28</t>
  </si>
  <si>
    <t>https://www.scopus.com/inward/record.uri?eid=2-s2.0-47749107269&amp;doi=10.1007%2f978-3-540-69858-6_28&amp;partnerID=40&amp;md5=3f4b61ef4f482e3c0188b15bd2099118</t>
  </si>
  <si>
    <t>Ibrahim M.; Ahmad R.</t>
  </si>
  <si>
    <t>Ibrahim, Mohd (57225808012); Ahmad, Rodina (24829264100)</t>
  </si>
  <si>
    <t>57225808012; 24829264100</t>
  </si>
  <si>
    <t>Class diagram extraction from textual requirements using natural language processing (NLP) techniques</t>
  </si>
  <si>
    <t>The automation of class generation from natural language requirements is highly challenging. This paper proposes a method and a tool to facilitate requirements analysis process and class diagram extraction from textual requirements supporting natural language processing NLP and Domain Ontology techniques. Requirements engineers analyze requirements manually to come out with analysis artifacts such as class diagram. The time spent on the analysis and the low quality of human nalysis proved the need of automated support. A "Requirements Analysis and Class Diagram Extraction (RACE)" is a desktop instrument to assist requirements analysts and SE students in analyzing textual requirements, finding core concepts and its relationships, and step by step extraction of the class diagram. The evaluation of RACE system is in the process and will be conducted using two forms of evaluation, experimental and expert evaluation. © 2010 IEEE.</t>
  </si>
  <si>
    <t>2nd International Conference on Computer Research and Development, ICCRD 2010</t>
  </si>
  <si>
    <t>5489508</t>
  </si>
  <si>
    <t>10.1109/ICCRD.2010.71</t>
  </si>
  <si>
    <t>https://www.scopus.com/inward/record.uri?eid=2-s2.0-77955200725&amp;doi=10.1109%2fICCRD.2010.71&amp;partnerID=40&amp;md5=e052f93a3055902ae74a9ae29f60c09e</t>
  </si>
  <si>
    <t>Ilyas M.; Küng J.</t>
  </si>
  <si>
    <t>Ilyas, Muhammad (55439142700); Küng, Josef (7006389016)</t>
  </si>
  <si>
    <t>55439142700; 7006389016</t>
  </si>
  <si>
    <t>Ontology-based similarity measurement in software projects through SimReq framework</t>
  </si>
  <si>
    <t>The study of similarity measurement has long been a fundamental part of natural language processing. Similarity measurement usage is increasing day by day in Information Extraction. Moreover, determining similarity measurement between two or more sets of information is facing problem in web mining. Traditional information retrieval approaches may not always find out the right match of exact concepts. Previously, we have presented SimReq, a Similarity Measurement Framework for requirements engineering. In this paper, we have presented a new idea by using SimReq framework with the help of ontology to find out similarity measurements in different software projects based on different software attributes like Functional Size, Data Quality Rating, and Work Effort etc. © 2010 IEEE.</t>
  </si>
  <si>
    <t>Proceedings - 5th International Conference on Software Engineering Advances, ICSEA 2010</t>
  </si>
  <si>
    <t>5615073</t>
  </si>
  <si>
    <t>10.1109/ICSEA.2010.70</t>
  </si>
  <si>
    <t>https://www.scopus.com/inward/record.uri?eid=2-s2.0-78649859887&amp;doi=10.1109%2fICSEA.2010.70&amp;partnerID=40&amp;md5=21f975e6ef98e2e25a2aae76c1cb9003</t>
  </si>
  <si>
    <t>Jafari S.M.; Yildirim S.; Cevik M.; Basar A.</t>
  </si>
  <si>
    <t>Jafari, Sanaz Mohammad (57928821600); Yildirim, Savas (23096618000); Cevik, Mucahit (56251503100); Basar, Ayse (57207576254)</t>
  </si>
  <si>
    <t>57928821600; 23096618000; 56251503100; 57207576254</t>
  </si>
  <si>
    <t>Anaphoric Ambiguity Resolution in Software Requirement Texts</t>
  </si>
  <si>
    <t>In requirements engineering (RE), anaphoric ambiguity is a frequent cause of misunderstandings. It can have a detrimental effect on the quality of requirements and jeopardize the success of a project. If stakeholders of the system, such as testers, developers, or customers, have different understandings or interpretations of software requirements, the system may not be accepted during customer validation. Despite its significance, there has been limited investigation into anaphoric ambiguity in RE. However, focusing on both recognizing and solving uncertainty can be more advantageous than just identifying it. Therefore we investigated the effectiveness of various QA learning techniques including encoder-based and text generation-based NLP models for two goals. We conduct detailed numerical experiments using various transformer models on two public requirements datasets and one generic dataset. Our results indicated that our QA architecture exhibits superior performance compared to baseline models in detecting ambiguity as well as resolving anaphora in contrast to other baseline approaches. We showed that our developed architecture can automatically support requirement development to minimize interpretation risk between stakeholders.  © 2023 IEEE.</t>
  </si>
  <si>
    <t>Proceedings - 2023 IEEE International Conference on Big Data, BigData 2023</t>
  </si>
  <si>
    <t>10.1109/BigData59044.2023.10386192</t>
  </si>
  <si>
    <t>https://www.scopus.com/inward/record.uri?eid=2-s2.0-85184983547&amp;doi=10.1109%2fBigData59044.2023.10386192&amp;partnerID=40&amp;md5=80e760f280767b96a5e7e1ed03f57643</t>
  </si>
  <si>
    <t>Jagielska D.; Wernick P.; Wood M.; Bennett S.</t>
  </si>
  <si>
    <t>Jagielska, Dorota (14034053000); Wernick, Paul (8415005400); Wood, Mick (57199315700); Bennett, Steve (57198384580)</t>
  </si>
  <si>
    <t>14034053000; 8415005400; 57199315700; 57198384580</t>
  </si>
  <si>
    <t>How natural is natural language?: How well do computer science students write use cases?</t>
  </si>
  <si>
    <t>Use cases are one of the most common mechanisms for describing and analyzing software system requirements. Due to use of natural language in use case descriptions, it is often assumed that they are easy to understand for stakeholders involved in the software development process [8]. However some authors argue [17,18] that the most common pitfalls of use cases written by professionals is that the customer does not understand them. In this paper we would like to consider whether it is appropriate to take their understandability to non-technically minded stakeholders for granted. We have analyzed 88 use cases written by final-year undergraduate computer science students for an assignment at the University of Hertfordshire and point out ways in which a omputing-based mindset or way of thinking infiltrates the use cases, possibly making them difficult to understand for nontechnical partners and hindering or pre-empting design decisions. We suggest that the problems we observed among students indicate a need for adding a new rule and/or guideline when teaching students to write good quality use cases, which is to ensure as far as possible that their use cases are free from computing-based structures and vocabulary. We also suggest ways in which students studying technical aspects of computer science might be led into practicing the use of non-technical language.</t>
  </si>
  <si>
    <t>Proceedings of the Conference on Object-Oriented Programming Systems, Languages, and Applications, OOPSLA</t>
  </si>
  <si>
    <t>2006</t>
  </si>
  <si>
    <t>1176744</t>
  </si>
  <si>
    <t>10.1145/1176617.1176744</t>
  </si>
  <si>
    <t>https://www.scopus.com/inward/record.uri?eid=2-s2.0-34248384382&amp;doi=10.1145%2f1176617.1176744&amp;partnerID=40&amp;md5=22f184f385c7ba358877dc74b4021211</t>
  </si>
  <si>
    <t>Jahan M.; Abad Z.S.H.; Far B.</t>
  </si>
  <si>
    <t>Jahan, Munima (57211715755); Abad, Zahra Shakeri Hossein (36986914600); Far, Behrouz (7003847808)</t>
  </si>
  <si>
    <t>57211715755; 36986914600; 7003847808</t>
  </si>
  <si>
    <t>Generating Sequence Diagram from Natural Language Requirements</t>
  </si>
  <si>
    <t>Model-driven requirements engineering is gaining enormous popularity in recent years. Unified Modeling Language (UML) is widely used in the software industry for specifying, visualizing, constructing, and documenting the software systems artifacts. UML models are helpful tools for portraying the structure and behavior of a software system. However, generating UML models like Sequence Diagrams from requirements documents often expressed in unstructured natural language, is time consuming and tedious. In this paper, we present an automated approach towards generating behavioral models as UML sequence diagrams from textual use cases written in natural language. The approach uses different Natural Language Processing (NLP) techniques combined with some rule based decision approaches to identify problem level objects and interactions. Additionally, different quality metrics are defined to assess the validity of generated sequence diagrams in terms of expected behaviour from a given use case. The criteria we established to assess the quality of analysis sequence diagrams can be applied to similar experiments. We evaluate our approach using different case studies concerning correctness and completeness of the generated sequence diagrams using those metrics. In most situations, we attained an average accuracy factor of over 85% and average completeness of over 90%, which is encouraging.  © 2021 IEEE.</t>
  </si>
  <si>
    <t>10.1109/REW53955.2021.00012</t>
  </si>
  <si>
    <t>https://www.scopus.com/inward/record.uri?eid=2-s2.0-85118433113&amp;doi=10.1109%2fREW53955.2021.00012&amp;partnerID=40&amp;md5=d2076b2e0c1542cb506b0633217d912e</t>
  </si>
  <si>
    <t>Jiménez S.; Alanis A.; Beltrán C.; Juárez-Ramírez R.; Ramírez-Noriega A.; Tona C.</t>
  </si>
  <si>
    <t>Jiménez, Samantha (55933652400); Alanis, Arnulfo (22633496400); Beltrán, Claudio (58112357400); Juárez-Ramírez, Reyes (56002669500); Ramírez-Noriega, Alan (57188557062); Tona, Claudia (57218285468)</t>
  </si>
  <si>
    <t>55933652400; 22633496400; 58112357400; 56002669500; 57188557062; 57218285468</t>
  </si>
  <si>
    <t>USQA: A User Story Quality Analyzer prototype for supporting software engineering students</t>
  </si>
  <si>
    <t>The Standish Group Reports 83.9% of IT Projects fail, and one of the top factors in failed projects is the incomplete requirements or user stories. Therefore, it is essential to teach undergraduate students from computer science degree programs how to create complete user stories. Computer science programs include some subjects or topics involving requirements or user stories collection and writing, such as Requirements Engineering, Software Engineering, Project Management, or Quality Software Assurance. For that reason, we designed a web application called User Story Quality Analyzer (USQA) that uses Natural Language Processing modules to detect errors regarding aspects of usefulness, completeness, and polysemes in the user stories creation. The tool was proved from three perspectives: (1) a reliability test, where 35 user stories developed by experts were tested in the app to prove the prototype's reliability; (2) usability and utility analysis; 48 students interacted with the tool and responded a Satisfaction Usability Scale and an open-ended question, the students reported a high usability score; (3) finally, error classification, we gathered 159 user stories processed by the system, and we classified the students' common errors considering incompleteness and polysemes. After the evaluations, we concluded that USQA could evaluate the user stories as an expert, which could help the professors/teachers/instructors in their courses by providing feedback to the students when they are writing user stories. © 2023 Wiley Periodicals LLC.</t>
  </si>
  <si>
    <t>Computer Applications in Engineering Education</t>
  </si>
  <si>
    <t>31</t>
  </si>
  <si>
    <t>10.1002/cae.22620</t>
  </si>
  <si>
    <t>https://www.scopus.com/inward/record.uri?eid=2-s2.0-85148621232&amp;doi=10.1002%2fcae.22620&amp;partnerID=40&amp;md5=5ee1c576a9569fd9e44200a8559d66ec</t>
  </si>
  <si>
    <t>Jimenez S.; Juarez-Ramirez R.</t>
  </si>
  <si>
    <t>Jimenez, Samantha (55933652400); Juarez-Ramirez, Reyes (56002669500)</t>
  </si>
  <si>
    <t>55933652400; 56002669500</t>
  </si>
  <si>
    <t>A Quality Framework for Evaluating Grammatical Structure of User Stories to Improve External Quality</t>
  </si>
  <si>
    <t>The quality assessment is an essential step in the software development process; it takes place previous and after the development. Internal quality is a set of characteristics from an internal approach in the software such as requirements, UML diagrams, and the code. These characteristics are constant during the software life cycle. The external quality metrics are the ones that require the end product and, in many cases, the users involvement. Several authors stated that the external quality of the product is related to the assurance of the internal quality of the project. For that reason, this study proposes a framework for assessing the internal quality of user stories to improve the external quality of the project deliveries. The internal quality assessment is based on the grammatical structure of the user stories, and the external quality considers the functionality and usability of the product deliveries. The experiment for validating the framework was conducted with 19 developers considering three different projects which gathered 46 user stories. The findings suggest that the presence of adjectives in user stories improves the usability and the correctness of the product is related to the developer's experience. © 2019 IEEE.</t>
  </si>
  <si>
    <t>Proceedings - 2019 7th International Conference in Software Engineering Research and Innovation, CONISOFT 2019</t>
  </si>
  <si>
    <t>9105527</t>
  </si>
  <si>
    <t>10.1109/CONISOFT.2019.00029</t>
  </si>
  <si>
    <t>https://www.scopus.com/inward/record.uri?eid=2-s2.0-85088574877&amp;doi=10.1109%2fCONISOFT.2019.00029&amp;partnerID=40&amp;md5=35fce0332495f4e9cf1afe67e05fbe2c</t>
  </si>
  <si>
    <t>Jubair M.A.; Mostafa S.A.; Mustapha A.; Salamat M.A.; Hassan M.H.; Mohammed M.A.; AL-Dhief F.T.</t>
  </si>
  <si>
    <t>Jubair, Mohammed Ahmed (57203690245); Mostafa, Salama A. (37036085800); Mustapha, Aida (57200530694); Salamat, Mohamad Aizi (55655398600); Hassan, Mustafa Hamid (57193264476); Mohammed, Mazin Abed (57192089894); AL-Dhief, Fahad Taha (57200993666)</t>
  </si>
  <si>
    <t>57203690245; 37036085800; 57200530694; 55655398600; 57193264476; 57192089894; 57200993666</t>
  </si>
  <si>
    <t>A multi-agent K-means with case-based reasoning for an automated quality assessment of software requirement specification</t>
  </si>
  <si>
    <t>Automating the quality assessment of Software Requirement Specification poses major challenges related to the need for advanced algorithms to extract the SRS quality features, interpret the context of the features, formulate accurate assessment metrics, and document the shortcomings as well as possible improvements. In the existing methods, such as Reconstructed Automated Requirement Measurement, and Rendex, some major processes are still handled offline by humans (semi-automated) or encompass automating the measurement of a few quality attributes due to the mentioned challenges. This paper addressed this gap and proposed an Automated Quality Assessment of SRS (AQA-SRS) framework to assess the SRS documents by automatically extracting features related to 11 quality attributes through a deep analysis of the SRS textual content. Also, it constructs a flexible platform that is able to minimize the human expert’s role in the SRS assessment. The AQA-SRS framework integrates Natural Language Processing, K-means, Multi-agent, and Case-Based Reasoning. The AQA-SRS framework is evaluated by processing two standard SRS datasets and comparing the results with state-of-the-art methods and analysis by software engineering experts. The results show that the AQA-SRS framework effectively assesses the tested SRS documents and achieves a 78% total agreement with the tested methods and software engineering experts. © 2022 The Authors. IET Communications published by John Wiley &amp; Sons Ltd on behalf of The Institution of Engineering and Technology.</t>
  </si>
  <si>
    <t>IET Communications</t>
  </si>
  <si>
    <t>10.1049/cmu2.12555</t>
  </si>
  <si>
    <t>https://www.scopus.com/inward/record.uri?eid=2-s2.0-85144141377&amp;doi=10.1049%2fcmu2.12555&amp;partnerID=40&amp;md5=c2aea465567769149433537567d07b3c</t>
  </si>
  <si>
    <t>Jurkiewicz J.; Nawrocki J.</t>
  </si>
  <si>
    <t>Jurkiewicz, J. (23390049500); Nawrocki, J. (56382113500)</t>
  </si>
  <si>
    <t>23390049500; 56382113500</t>
  </si>
  <si>
    <t>Automated events identification in use cases</t>
  </si>
  <si>
    <t>Context: Use cases are a popular method of expressing functional requirements. One contains a main scenario and a set of extensions, each consisting of an event and an alternative sequence of activities. Events omitted in requirements specification can lead to rework. Unfortunately, as it follows from the previous research, manual identification of events is rather ineffective (less than 1/3 of events are identified) and it is slow. Objective: The goal of this paper is to propose an automatic method of identification of events in use cases and evaluate its quality. Method: Each step of a main scenario is analyzed by a sequence of NLP tools to identify its performer, activity type and information object. It has been observed that performer, activity type and some attributes of information objects determine types of events that can occur when that activity is performed. That empirical knowledge is represented as a set of axioms and two inference rules have been proposed which allow to identify types of possible events. For each event type an NLG pattern is proposed which allows to generate description of the event type in natural language. The proposed method was compared with two manual approaches to identification of events: ad hoc and HAZOP-based. Also a kind of Turing test was performed to evaluate linguistic quality of generated descriptions. Results: Accuracy of the proposed method is about 80% (for manual approaches it is less than 1/3) and its speed is about 11 steps/minute (ad hoc approach is 4 times slower, and HAZOP-based approach is 20 times slower). Understandability of the generated event descriptions was not worse than understandability of the descriptions written by humans. Conclusions: The proposed method could be used to enhance contemporary tools for managing use cases. © 2014 Elsevier B.V. All rights reserved.</t>
  </si>
  <si>
    <t>Information and Software Technology</t>
  </si>
  <si>
    <t>58</t>
  </si>
  <si>
    <t>10.1016/j.infsof.2014.09.011</t>
  </si>
  <si>
    <t>https://www.scopus.com/inward/record.uri?eid=2-s2.0-84913554456&amp;doi=10.1016%2fj.infsof.2014.09.011&amp;partnerID=40&amp;md5=53aba0132ebde2c70b1ee83218a7cb04</t>
  </si>
  <si>
    <t>Kamalrudin M.; Hosking J.; Grundy J.</t>
  </si>
  <si>
    <t>Kamalrudin, Massila (24512213400); Hosking, John (7005154879); Grundy, John (7102156137)</t>
  </si>
  <si>
    <t>24512213400; 7005154879; 7102156137</t>
  </si>
  <si>
    <t>Improving requirements quality using essential use case interaction patterns</t>
  </si>
  <si>
    <t>Requirements specifications need to be checked against the 3C's - Consistency, Completeness and Correctness - in order to achieve high quality. This is especially difficult when working with both natural language requirements and associated semi-formal modelling representations. We describe a technique and support tool that allows us to perform semi-automated checking of natural language and semi-formal requirements models, supporting both consistency management between representations but also correctness and completeness analysis. We use a concept of essential use case interaction patterns to perform the correctness and completeness analysis on the semi-formal representation. We highlight potential inconsistencies, incompleteness and incorrectness using visual differencing in our support tool. We have evaluated our approach via an end user study which focused on the tool's usefulness, ease of use, ease of learning and user satisfaction and provided data for cognitive dimensions of notations analysis of the tool. © 2011 ACM.</t>
  </si>
  <si>
    <t>10.1145/1985793.1985866</t>
  </si>
  <si>
    <t>https://www.scopus.com/inward/record.uri?eid=2-s2.0-79959870257&amp;doi=10.1145%2f1985793.1985866&amp;partnerID=40&amp;md5=90d7791d8595e108b7395995919ec43a</t>
  </si>
  <si>
    <t>MaramaAIC: tool support for consistency management and validation of requirements</t>
  </si>
  <si>
    <t>Requirements captured by requirements engineers (REs) are commonly inconsistent with their client’s intended requirements and are often error prone. There is limited tool support providing end-to-end support between the REs and their client for the validation and improvement of these requirements. We have developed an automated tool called MaramaAIC (Automated Inconsistency Checker) to address these problems. MaramaAIC provides automated requirements traceability and visual support to identify and highlight inconsistency, incorrectness and incompleteness in captured requirements. MaramaAIC provides an end-to-end rapid prototyping approach together with a patterns library that helps to capture requirements and check the consistency of requirements that have been expressed in textual natural language requirements and then extracted to semi-formal abstract interactions, essential use cases (EUCs) and user interface prototype models. It helps engineers to validate the correctness and completeness of the EUCs modelled requirements by comparing them to “best-practice” templates and generates an abstract prototype in the form of essential user interface prototype models and concrete User Interface views in the form of HTML. We describe its design and implementation together with results of evaluating our tool’s efficacy and performance, and user perception of the tool’s usability and its strengths and weaknesses via a substantial usability study. We also present a qualitative study on the effectiveness of the tool’s end-to-end rapid prototyping approach in improving dialogue between the RE and the client as well as improving the quality of the requirements. © 2016, Springer Science+Business Media New York.</t>
  </si>
  <si>
    <t>24</t>
  </si>
  <si>
    <t>10.1007/s10515-016-0192-z</t>
  </si>
  <si>
    <t>https://www.scopus.com/inward/record.uri?eid=2-s2.0-84959348202&amp;doi=10.1007%2fs10515-016-0192-z&amp;partnerID=40&amp;md5=66985c2e995cc8fe4bd83dd18184c2ea</t>
  </si>
  <si>
    <t>Kang Y.; Li H.; Lu C.; Pu B.</t>
  </si>
  <si>
    <t>Kang, Yan (36773070500); Li, Hao (57188820231); Lu, Chenyang (57207952781); Pu, Bin (57217089123)</t>
  </si>
  <si>
    <t>36773070500; 57188820231; 57207952781; 57217089123</t>
  </si>
  <si>
    <t>A transfer learning algorithm for automatic requirement model generation</t>
  </si>
  <si>
    <t>In this paper, we present a novel method for data-mining large informal product descriptions rather than extracting requirement features from proprietary project repositories. Our algorithm hybridizes deep-learning algorithms such as word2vec and recurrent neural network (RNN) with classical techniques to improve the performance of text analysis. Given the inaccuracy and incompleteness of the software requirement descriptions on websites, the instance-transfer learning method is utilized to construct a robust classifier and predict domain feature knowledge based on domain knowledge similar to the target domain. The bagging clustering algorithm is utilized with multiple clustering algorithms to help select transfer instances. [Author to confirm changes.]The RNN-based algorithm is utilized as a useful alternative to predict missing features by studying the requirement descriptions of a related software system, while word2vec is utilized to extract sensible feature keywords for the specific software domain. [Author to confirm changes.]Our RNN model for every subclass is based on the clustering result, and we construct subclass classifiers to recommend requirement keywords. Requirement features recommended by our algorithm potentially increase opportunities for requirement classification, promote software requirement quality, and deliver more reliable software products. We explain the details of implementation and perform experimental work on real requirement descriptions to establish its worth. © 2019 - IOS Press and the authors. All rights reserved</t>
  </si>
  <si>
    <t>Journal of Intelligent and Fuzzy Systems</t>
  </si>
  <si>
    <t>36</t>
  </si>
  <si>
    <t>10.3233/JIFS-169892</t>
  </si>
  <si>
    <t>https://www.scopus.com/inward/record.uri?eid=2-s2.0-85063341794&amp;doi=10.3233%2fJIFS-169892&amp;partnerID=40&amp;md5=87ced2862fd43186836e2c9f2ceba76c</t>
  </si>
  <si>
    <t>Kaur K.; Kaur P.</t>
  </si>
  <si>
    <t>Kaur, Kamaljit (57214547208); Kaur, Parminder (56599892700)</t>
  </si>
  <si>
    <t>57214547208; 56599892700</t>
  </si>
  <si>
    <t>BERT-CNN: Improving BERT for Requirements Classification using CNN</t>
  </si>
  <si>
    <t>Requirements classification is considered a crucial task in requirements engineering. The analysis of functional and Non-functional requirements (NFRs) requires domain knowledge. NFRs are considered quality attributes, that hold critical information about the constraints upon which the success of software depends. Usually, requirements are expressed in natural language, and extraction and classification of such requirements become a challenging task. Various automatic techniques for requirements classification are exploited by existing studies. Recently, Transfer learning as a new deep learning model attracts the attention of researchers, which excelled in different Natural Language Processing tasks. Transfer learning-based BERT pre-trained model achieved more promising results than state-of-the-art approaches. This proposed research presents a Bidirectional Encoder-Decoder Transformer-Convolutional Neural Network (BERT-CNN) model for requirements classification. Then, the convolutional layer is stacked over the BERT layer for performance enhancement. This research work conducted an experiment on the PROMISE dataset of 625 requirements. The experiment results demonstrate that the proposed model performs better than the state-of-the-art baseline approach. © 2022 Elsevier B.V.. All rights reserved.</t>
  </si>
  <si>
    <t>218</t>
  </si>
  <si>
    <t>10.1016/j.procs.2023.01.234</t>
  </si>
  <si>
    <t>https://www.scopus.com/inward/record.uri?eid=2-s2.0-85163708861&amp;doi=10.1016%2fj.procs.2023.01.234&amp;partnerID=40&amp;md5=2a177d0e38395b250edaaae39a28d8de</t>
  </si>
  <si>
    <t>MNoR-BERT: multi-label classification of non-functional requirements using BERT</t>
  </si>
  <si>
    <t>In the era of Internet access, software is easily available on digital distribution platforms such as app stores. The distribution of software on these platforms makes user feedback more accessible and can be used from requirements engineering to software maintenance context. However, such user reviews might contain technical information about the app that can be valuable for developers and software companies. Due to pervasive use of mobile apps, a large amount of data is created by users on daily basis. Manual identification and classification of such reviews are time-consuming and laborious tasks. Hence, automating this process is essential for assisting developers in managing these reviews efficiently. Prior studies have focused on classification of these reviews into bug reports, user experience, and feature requests. Nevertheless to date, a very few research papers have extracted Non-Functional Requirements (NFRs) present in these reviews. NFRs are considered as the set of quality attributes such as reliability, performance, security and usability of the software. Previous studies have utilized machine learning techniques to classify these reviews into their respective classes. However, it was observed that existing studies treat review classification problems as single-label classification problem, and also underestimate the contextual relationship between the words of review statements. To alleviate this limitation, the proposed research work used a transfer learning model to classify multi-label app reviews into four NFRs: Dependability, Performance, Supportability, and Usability. The proposed approach evaluates the performance of the pre-trained language model for multi-label review classification. In this paper, a set of experiments are conducted to compare the performance of the proposed model against the baseline machine learning with binary relevance and keyword based approach. We evaluated our approach over a dataset of 6000 user reviews of 24 iOS apps. Experimental results show that the proposed model outperforms state-of-the-art baseline techniques with respect to precision, recall, and F1-measure. © 2023, The Author(s), under exclusive licence to Springer-Verlag London Ltd., part of Springer Nature.</t>
  </si>
  <si>
    <t>Neural Computing and Applications</t>
  </si>
  <si>
    <t>35</t>
  </si>
  <si>
    <t>10.1007/s00521-023-08833-1</t>
  </si>
  <si>
    <t>https://www.scopus.com/inward/record.uri?eid=2-s2.0-85167814712&amp;doi=10.1007%2fs00521-023-08833-1&amp;partnerID=40&amp;md5=a2401b16a23d40cb5c20c4a278f53c8b</t>
  </si>
  <si>
    <t>Kenney O.; Cooper M.</t>
  </si>
  <si>
    <t>Kenney, Olivia (57195813314); Cooper, Matthew (57216157514)</t>
  </si>
  <si>
    <t>57195813314; 57216157514</t>
  </si>
  <si>
    <t>Automating requirement quality standards with QVscribe</t>
  </si>
  <si>
    <t>QVscribe is a requirement authoring and analysis tool that harnesses Natural Language Processing (NLP) to proactively check for compliance of the best requirements analysis practices identified by associations such as INCOSE and against generally accepted industry frameworks such as Easy Approach to Requirements Syntax (EARS). It has been proven to reduce time and cost of reviewing requirements by 50% or more (QRA19). Copyright © 2020 for this paper by its authors.</t>
  </si>
  <si>
    <t>https://www.scopus.com/inward/record.uri?eid=2-s2.0-85082710005&amp;partnerID=40&amp;md5=9045ca0bff5fc597766097a05682c9d1</t>
  </si>
  <si>
    <t>Khayashi, F.; Jamasb, B.; Akbari, R.; Shamsinejadbabaki, P.</t>
  </si>
  <si>
    <t>Khayashi, Fatemeh; Jamasb, Behnaz; Akbari, Reza; Shamsinejadbabaki, Pirooz</t>
  </si>
  <si>
    <t>Deep Learning Methods for Software Requirement Classification: A Performance Study on the PURE dataset</t>
  </si>
  <si>
    <t>Requirement engineering (RE) is the first and the most important step in software production and development. The RE is aimed to specify software requirements. One of the tasks in RE is the categorization of software requirements as functional and non-functional requirements. The functional requirements (FR) show the responsibilities of the system while non-functional requirements represent the quality factors of software. Discrimination between FR and NFR is a challenging task. Nowadays Deep Learning (DL) has entered all fields of engineering and has increased accuracy and reduced time in their implementation process. In this paper, we use deep learning for the classification of software requirements. Five prominent DL algorithms are trained for classifying requirements. Also, two voting classification algorithms are utilized for creating ensemble classifiers based on five DL methods. The PURE, a repository of Software Requirement Specification (SRS) documents, is selected for our experiments. We created a dataset from PURE which contains 4661 requirements where 2617 requirements are functional and the remaining are non-functional. Our methods are applied to the dataset and their performance analysis is reported. The results show that the performance of deep learning models is satisfactory and the voting mechanisms provide better results.</t>
  </si>
  <si>
    <t>10.48550/arXiv.2211.05286</t>
  </si>
  <si>
    <t>https://arxiv.org/abs/2211.05286v1</t>
  </si>
  <si>
    <t>Knauss E.; Ott D.</t>
  </si>
  <si>
    <t>Knauss, Eric (24829443700); Ott, Daniel (36245671200)</t>
  </si>
  <si>
    <t>24829443700; 36245671200</t>
  </si>
  <si>
    <t>Semi- automatic categorization of natural language requirements</t>
  </si>
  <si>
    <t>Context and motivation: Requirements of todays industry specifications need to be categorized for multiple reasons, including analysis of certain requirement types (like non-functional requirements) and identification of dependencies among requirements.This is a pre-requisite for effective communication and prioritization of requirements in industry-size specifications. Question/problem: Because of the size and complexity of these specifications, categorization tasks must be specifically supported in order to minimize manual efforts and to ensure a high classification accuracy. Approaches that make use of (supervised) automatic classification algorithms have to deal with the problem to provide enough training data with excellent quality. Principal ideas/results: In this paper, we discuss the requirements engineering team and their requirements management tool as a socio-technical system that allows consistent classification of requirements with a focus on organizational learning. We compare a manual, a semi-automatic, and a fully-automatic approach for the classification of requirements in this environment. We evaluate performance of these approaches by measuring effort and accuracy of automatic classification recommendations and combined performance of user and tool, and capturing the opinion of the expert-participants in a questionnaire. Our results show that a semiautomatic approach is most promising, as it offers the best ratio of quality and effort and the best learning performance. Contribution: Our contribution is the definition of a socio-technical system for requirements classification and its evaluation in an industrial setting at Mercedes-Benz with a team of ten practitioners. © 2014 Springer International Publishing Switzerland.</t>
  </si>
  <si>
    <t>10.1007/978-3-319-05843-6_4</t>
  </si>
  <si>
    <t>https://www.scopus.com/inward/record.uri?eid=2-s2.0-84958535855&amp;doi=10.1007%2f978-3-319-05843-6_4&amp;partnerID=40&amp;md5=727abbb8253efeb4e863449ead0d4b7d</t>
  </si>
  <si>
    <t>Kocerka J.; Krzeslak M.; Galuszka A.</t>
  </si>
  <si>
    <t>Kocerka, Jerzy (57204631744); Krzeslak, Michal (36447315000); Galuszka, Adam (6701419257)</t>
  </si>
  <si>
    <t>57204631744; 36447315000; 6701419257</t>
  </si>
  <si>
    <t>Analysing Quality of Textual Requirements Using Natural Language Processing: A Literature Review</t>
  </si>
  <si>
    <t>Requirements engineering plays an important role in quality assurance, which is especially important for complex, embedded, safety-related systems. Such systems are often subject to additional regulations regarding functional safety such as ISO 26262 norm for road vehicles or EN 50128 for railway industry. Verifying quality of the requirements is a first step both for validation and verification of the system under test. This paper presents a review of the existing methods of automatic detection of the ambiguity and automatic assessment of the requirements quality together with the possible, future fields of research. © 2018 IEEE.</t>
  </si>
  <si>
    <t>2018 23rd International Conference on Methods and Models in Automation and Robotics, MMAR 2018</t>
  </si>
  <si>
    <t>8486143</t>
  </si>
  <si>
    <t>10.1109/MMAR.2018.8486143</t>
  </si>
  <si>
    <t>https://www.scopus.com/inward/record.uri?eid=2-s2.0-85056465484&amp;doi=10.1109%2fMMAR.2018.8486143&amp;partnerID=40&amp;md5=43e003191dd99a71e27c16a75678c93f</t>
  </si>
  <si>
    <t>Kopp A.; Orlovskyi D.; Orekhov S.</t>
  </si>
  <si>
    <t>Kopp, Andrii (57202887287); Orlovskyi, Dmytro (57202894400); Orekhov, Sergey (57210618400)</t>
  </si>
  <si>
    <t>57202887287; 57202894400; 57210618400</t>
  </si>
  <si>
    <t>Towards Understandability Evaluation of Business Process Models using Activity Textual Analysis</t>
  </si>
  <si>
    <t>There are two purposes of business process modeling. Business process models are created by business analysts for understanding, analysis, and improvement of process scenarios, search, and elimination of weak spots and bottlenecks in organizational activities. Another purpose of business process models is the requirements engineering in software development projects. In both cases, the quality of created business process models is the core issue. Poor models are similar to text documents written with mistakes – they are not understandable, which may negatively impact the real processes they represent and the software workflows they describe. However, existing studies in the field of business process model quality mostly focus on the structural analysis of models using size, complexity, and other metrics with thresholds, while the textual analysis of activity labels is omitted. Therefore, in this paper, we propose an approach to the analysis of business process model understandability taking into account best practices of activity labeling. The proposed approach includes the use of natural language processing techniques, so the respective software tool was developed to perform experiments with a set of business process models. According to obtained results, we suggest considering both textual and structural qualities to achieve the understandability of business process models due to the bad correlation between these metrics (0.0171) – well-structured models can have unclear activity labels and vice versa. © 2022 Copyright for this paper by its authors. Use permitted under Creative Commons License Attribution 4.0 International (CC BY 4.0).</t>
  </si>
  <si>
    <t>3312</t>
  </si>
  <si>
    <t>https://www.scopus.com/inward/record.uri?eid=2-s2.0-85146114093&amp;partnerID=40&amp;md5=2714c9eb8a508ff9d960853c853fc883</t>
  </si>
  <si>
    <t>Köse, S. G.; Aydemir, F. B.</t>
  </si>
  <si>
    <t>Köse, Salih Göktuğ; Aydemir, Fatma Başak</t>
  </si>
  <si>
    <t>A Framework To Improve User Story Sets Through Collaboration</t>
  </si>
  <si>
    <t>Agile methodologies have become increasingly popular in recent years. Due to its inherent nature, agile methodologies involve stakeholders with a wide range of expertise and require interaction between them, relying on collaboration and customer involvement. Hence, agile methodologies encourage collaboration between all team members so that more efficient and effective processes are maintained. Generating requirements can be challenging, as it requires the participation of multiple stakeholders who describe various aspects of the project and possess a shared understanding of essential concepts. One simple method for capturing requirements using natural language is through user stories, which document the agreed-upon properties of a project. Stakeholders try to strive for completeness while generating user stories, but the final user story set may still be flawed. To address this issue, we propose SCOUT: Supporting Completeness of User Story Sets, which employs a natural language processing pipeline to extract key concepts from user stories and construct a knowledge graph by connecting related terms. The knowledge graph and different heuristics are then utilized to enhance the quality and completeness of the user story sets by generating suggestions for the stakeholders. We perform a user study to evaluate SCOUT and demonstrate its performance in constructing user stories. The quantitative and qualitative results indicate that SCOUT significantly enhance the quality and completeness of the user story sets. Our contribution is threefold. First, we develop heuristics to suggest new concepts to include in user stories by considering both the individuals' and other team members' contributions. Second, we implement an open-source collaborative tool to support writing user stories and ensuring their quality. Third, we share the experimental setup and materials.</t>
  </si>
  <si>
    <t xml:space="preserve">
10.48550/arXiv.2301.10070</t>
  </si>
  <si>
    <t>https://arxiv.org/abs/2301.10070v1</t>
  </si>
  <si>
    <t>Krishna M.; Gaur B.; Verma A.; Jalote P.</t>
  </si>
  <si>
    <t>Madhava Krishna, Bhagesh Gaur, Arsh Verma, Pankaj Jalote</t>
  </si>
  <si>
    <t>Using LLMs in Software Requirements Specifications: An Empirical Evaluation</t>
  </si>
  <si>
    <t>The creation of a Software Requirements Specification (SRS) document is important for any software development project. Given the recent prowess of Large Language Models (LLMs) in answering natural language queries and generating sophisticated textual outputs, our study explores their capability to produce accurate, coherent, and structured drafts of these documents to accelerate the software development lifecycle. We assess the performance of GPT-4 and CodeLlama in drafting an SRS for a university club management system and compare it against human benchmarks using eight distinct criteria. Our results suggest that LLMs can match the output quality of an entry-level software engineer to generate an SRS, delivering complete and consistent drafts. We also evaluate the capabilities of LLMs to identify and rectify problems in a given requirements document. Our experiments indicate that GPT-4 is capable of identifying issues and giving constructive feedback for rectifying them, while CodeLlama's results for validation were not as encouraging. We repeated the generation exercise for four distinct use cases to study the time saved by employing LLMs for SRS generation. The experiment demonstrates that LLMs may facilitate a significant reduction in development time for entry-level software engineers. Hence, we conclude that the LLMs can be gainfully used by software engineers to increase productivity by saving time and effort in generating, validating and rectifying software requirements.</t>
  </si>
  <si>
    <t>10.48550/arXiv.2404.17842</t>
  </si>
  <si>
    <t>https://arxiv.org/abs/2404.17842</t>
  </si>
  <si>
    <t>Kummler P.; Fromm H.</t>
  </si>
  <si>
    <t>Kummler, Patrick (57194078514); Fromm, Hansjörg (55583868500)</t>
  </si>
  <si>
    <t>57194078514; 55583868500</t>
  </si>
  <si>
    <t>A closer look on the difficulties to determine the quality of software requirements</t>
  </si>
  <si>
    <t>Increasing demands on quality and complexity are a major challenge for the development of industrial software products. Automotive software in particular is subject to additional safety, security and legal demands. In such software projects, the specification of requirements is the first concrete output that is mostly written in natural language. However, in practice, two problem areas exist: First, due to reasons like lack of knowledge and missing experience of engineers, requirements quality often is not at a satisfactory level. Second, a massive increase of the number of requirements for software poses a scalability issue. In our research, we want to take a closer look on the quality determination of software requirements. We present an overview of existing research approaches based on the standard ISO/IEC/IEEE 29148:2011 that offers nine essential characteristics for requirements quality. In addition, we analyze results from several sessions in which experts rate automotive software requirements. © 2019 CEUR-WS.</t>
  </si>
  <si>
    <t>2308</t>
  </si>
  <si>
    <t>https://www.scopus.com/inward/record.uri?eid=2-s2.0-85061771449&amp;partnerID=40&amp;md5=d082e933de3243384a3f54047cb3d9eb</t>
  </si>
  <si>
    <t>Laleau R.; Vignes S.; Ledru Y.; Lemoine M.; Bert D.; Donzeau-Gouge V.; Dubois C.; Peureux F.</t>
  </si>
  <si>
    <t>Laleau, Régine (57203847210); Vignes, Sylvie (15045816100); Ledru, Yves (6603212759); Lemoine, Michel (7006280214); Bert, Didier (6701570902); Donzeau-Gouge, Véronique (55888034700); Dubois, Catherine (7103326256); Peureux, Fabien (55937704000)</t>
  </si>
  <si>
    <t>57203847210; 15045816100; 6603212759; 7006280214; 6701570902; 55888034700; 7103326256; 55937704000</t>
  </si>
  <si>
    <t>Adopting a situational requirements engineering approach for the analysis of civil aviation security standards</t>
  </si>
  <si>
    <t>The security of civil aviation, like many human activities, is regulated by a series of international standards and recommended practices. The quality of these documents is a prerequisite to reach an acceptable security level. The EDEMOI project aims at investigating different techniques to analyse these standards. The techniques that we have used, such as Requirements Engineering (RE) and formal methods, have been fruitfully tried and tested in computer science. During the first step of the project, properties were extracted from standards written in natural language and a conceptual model of the underlying system was elaborated. Since none of the existing requirements engineering methods were able to consider the specifics of our project, we turned to situational method engineering, and have defined a new RE method based on this approach. The standard considered in the article is Annex 17 of the Convention of the International Civil Aviation Organization (ICAO). We present several adaptations/extensions to relevant RE techniques necessary to take into account the specific features of our project. Finally, we describe how we have applied this new method to the analysis of Annex 17. Copyright © 2006 John Wiley &amp; Sons, Ltd.</t>
  </si>
  <si>
    <t>Software Process Improvement and Practice</t>
  </si>
  <si>
    <t>10.1002/spip.291</t>
  </si>
  <si>
    <t>https://www.scopus.com/inward/record.uri?eid=2-s2.0-33750302858&amp;doi=10.1002%2fspip.291&amp;partnerID=40&amp;md5=53751b9e5de59fec0397111e437e3ac4</t>
  </si>
  <si>
    <t>Lash A.; Murray K.; Mocko G.</t>
  </si>
  <si>
    <t>Lash, Alex (55865418800); Murray, Kevin (57198129055); Mocko, Gregory (6507503267)</t>
  </si>
  <si>
    <t>55865418800; 57198129055; 6507503267</t>
  </si>
  <si>
    <t>Natural language processing applications in requirements engineering</t>
  </si>
  <si>
    <t>In the design process, the requirements serve as the benchmark for the entire product. Therefore, the quality of requirement statements is essential to the success of a design. Because of their ergonomic-nature, most requirements are written in natural language (NL). However, writing requirements in natural language presents many issues such as ambiguity, specification issues, and incompleteness. Therefore, identifying issues in requirements involves analyzing these NL statements. This paper presents a linguistic approach to requirement analysis, which utilizes grammatical elements of requirements statements to identify requirement statement issues. These issues are organized by the entityâword, sentence, or documentâthat they affect. The field of natural language processing (NLP) provides a core set of tools that can aid with this linguistic analysis and provide a method to create a requirement analysis support tool. NLP addresses requirements on processing levels: lexical, syntactic, semantic, and pragmatic. While processing on the lexical and syntactic level are well-defined, mining semantic and pragmatic data is performed in a number of different methods. This paper provides an overview of these current requirement analysis methods in light of the presented linguistic approach. This overview will be used to identify areas for further research and development. Finally, a prototype requirement analysis support tool will be presented. This tool seeks to demonstrate how the semantic processing level can begin to be addressed in requirement analysis. The tool will analyze a sample set of requirements from a family of military tactical vehicles (FMTV) requirements document. It implements NLP tools to semantically compare requirements statements based upon their grammatical subject. Copyright © 2012 by ASME.</t>
  </si>
  <si>
    <t>Proceedings of the ASME Design Engineering Technical Conference</t>
  </si>
  <si>
    <t>PARTS A AND B</t>
  </si>
  <si>
    <t>10.1115/DETC2012-71084</t>
  </si>
  <si>
    <t>https://www.scopus.com/inward/record.uri?eid=2-s2.0-84884646680&amp;doi=10.1115%2fDETC2012-71084&amp;partnerID=40&amp;md5=29930c2cbc1b0693f88e6f2844485e6c</t>
  </si>
  <si>
    <t>Ledger M.</t>
  </si>
  <si>
    <t>Ledger, Michael (57196370498)</t>
  </si>
  <si>
    <t>57196370498</t>
  </si>
  <si>
    <t>A Demonstration of Respecify: A Requirements Authoring Tool Harnessing CNL</t>
  </si>
  <si>
    <t>Respecify is a new web-based requirements authoring tool using constrained natural language (CNL) to guide the authoring process and drive the creation of alternative views that elucidate the complexity of specifications, thus reducing the occurrence of certain types of requirements quality defects. This tool demo motivates Respecify's existence, its key features, and evaluates its current use in industry. © 2017 IEEE.</t>
  </si>
  <si>
    <t>Proceedings - 2017 IEEE 25th International Requirements Engineering Conference, RE 2017</t>
  </si>
  <si>
    <t>8049164</t>
  </si>
  <si>
    <t>10.1109/RE.2017.85</t>
  </si>
  <si>
    <t>https://www.scopus.com/inward/record.uri?eid=2-s2.0-85032825930&amp;doi=10.1109%2fRE.2017.85&amp;partnerID=40&amp;md5=ab52d2d1f3290be7e2ad9b0c33d322e1</t>
  </si>
  <si>
    <t>Lee S.-W.; Gandhi R.A.</t>
  </si>
  <si>
    <t>Lee, Seok-Won (7601393462); Gandhi, Robin A. (34770427300)</t>
  </si>
  <si>
    <t>7601393462; 34770427300</t>
  </si>
  <si>
    <t>Requirements as enablers for software assurance</t>
  </si>
  <si>
    <t>The level of compliance with Certification and Accreditation (C&amp;A) requirements conveys the level of assurance that one can expect from the quality of software behavior, Therefore, it is critical to understand the C&amp;A requirements in terms of their applicability, scope, and impact of non-compliance on diverse aspects of software behavior to justify its certified qualities. However, numerous C&amp;A requirements in ambiguous natural language descriptions with different levels of granularity are scattered across multiple documents that are used as guidance for C&amp;A activities. As a result, a great deal of subjectivity is involved in understanding C&amp;A requirements and their evaluation. This article discusses our approach to represent, model, and analyze C&amp;A requirements to promote a common understanding among stakeholders for engineering more reliable software.</t>
  </si>
  <si>
    <t>CrossTalk</t>
  </si>
  <si>
    <t>19</t>
  </si>
  <si>
    <t>https://www.scopus.com/inward/record.uri?eid=2-s2.0-33845297655&amp;partnerID=40&amp;md5=4aa22d0e05a7dbc18343d4106149abf6</t>
  </si>
  <si>
    <t>Lee W.J.</t>
  </si>
  <si>
    <t>Lee, Woo Jin (55682653854)</t>
  </si>
  <si>
    <t>55682653854</t>
  </si>
  <si>
    <t>Integration and analysis of use cases using modular petri nets in requirements engineering</t>
  </si>
  <si>
    <t>It is well known that requirements engineering plays a critical role in software quality. The use case approach is a requirements elicitation technique commonly used in industrial applications. Software requirements are stated as a collection of use cases, each of which is written in the user's perspective and describes a specific flow of events in the system. The use case approach offers several practical advantages in that use case requirements are relatively easy to describe, understand, and trace. Unfortunately, there are a couple of major drawbacks. Since use cases are often stated in natural languages, they lack formal syntax and semantics. Furthermore, it is difficult to analyze their global system behavior for completeness and consistency, partly because use cases describe only partial behaviors and because interactions among them are rarely represented explicitly. In this paper, we propose the Constraints-based Modular Petri Nets(CMPNs) approach as an effective way to formalize the informal aspects of use cases. CMPNs, an extension of Place/Transition nets, allow the formal and incremental specification of requirements. The major contributions of our paper, in addition to the formal definitions of CMPNs, are the development of: 1) a systematic procedure to convert use cases stated in natural language to a CMPN model; and 2) a set of guidelines to find inconsistency and incompleteness in CMPNs. We demonstrate an application of our approach using use cases developed for telecommunications services. ©1998 IEEE.</t>
  </si>
  <si>
    <t>IEEE Transactions on Software Engineering</t>
  </si>
  <si>
    <t>10.1109/32.738342</t>
  </si>
  <si>
    <t>https://www.scopus.com/inward/record.uri?eid=2-s2.0-0032291016&amp;doi=10.1109%2f32.738342&amp;partnerID=40&amp;md5=fdfb93c6901532c208ec28912a36ab72</t>
  </si>
  <si>
    <t>Li B.; Li Z.; Yang Y.</t>
  </si>
  <si>
    <t>Li, Bing (57226853759); Li, Zhi (57040043100); Yang, Yilong (57201588421)</t>
  </si>
  <si>
    <t>57226853759; 57040043100; 57201588421</t>
  </si>
  <si>
    <t>NFRNet: A Deep Neural Network for Automatic Classification of Non-Functional Requirements</t>
  </si>
  <si>
    <t>Non-functional requirements specify those qualities that software products must have in order to meet the user's business requirements. The elicitation of these non-functional requirements requires expertise, experience, and domain knowledge, which is challenging and time-consuming for requirements engineers and developers. It would be very beneficial if the nonfunctional requirements can be automatically extracted from the requirements documentation to reduce the human efforts, time, and avoid the mental fatigue. In this paper, we present a novel deep neural network model called NFRNet to automatically extract non-functional requirements from software requirements documentation.  © 2021 IEEE.</t>
  </si>
  <si>
    <t>10.1109/RE51729.2021.00057</t>
  </si>
  <si>
    <t>https://www.scopus.com/inward/record.uri?eid=2-s2.0-85123163435&amp;doi=10.1109%2fRE51729.2021.00057&amp;partnerID=40&amp;md5=cbe2016c99348c8801481fa9ac49f21f</t>
  </si>
  <si>
    <t>Li B.; Nong X.</t>
  </si>
  <si>
    <t>Li, Bing (57226853759); Nong, Xiuwen (57828185900)</t>
  </si>
  <si>
    <t>57226853759; 57828185900</t>
  </si>
  <si>
    <t>Automatically classifying non-functional requirements using deep neural network</t>
  </si>
  <si>
    <t>Non-functional requirements are property that software products must have in order to meet the user's business requirements, and are additional constraints on the quality and characteristics of software systems. They are generally written by software designers and documented in various parts of requirements documentation. When developing systems, developers need to classify non-functional requirements from requirements documents, and classifying these non-functional requirements requires professional skills, experience, and domain knowledge, which is challenging and time-consuming for developers. It would be beneficial to implement automatic classification of non-functional requirements from requirements documents, which could reduce the manual, time, and mental fatigue involved in identifying specific non-functional requirements from a large number of requirements. In this paper, a deep neural network model called NFRNet is designed to automatically classify non-functional requirements from software requirement documents. The network consists of two parts. One is an improved BERT word embedding model based on N-gram masking for learning context representation of the requirement descriptions, and the other is a Bi-LSTM classification network for capture context information of the requirement descriptions. We use a Softmax classifier in the end to classify the requirement descriptions. At the same time, in order to accelerate the training and improve the generalization ability of the model, the network uses multi-sample dropout regularization technology. This new regularization technology can reduce the number of iterations needed for training, accelerate the training of deep neural networks, and the networks trained achieved lower error rates. In addition, we expanded the original non-functional requirements dataset (PROMISE dataset) and designed a new dataset called SOFTWARE NFR. The new dataset far exceeds the original dataset in terms of the number of requirement description sentences and the number of non-functional requirements categories. It can be taken as a new testbed for non-functional requirements classification. Through cross-validation on the new dataset, the experimental results show that the network designed in this paper is significantly better than the other 17 classification methods in terms of Precision, Recall, and F1-score. At the same time, for the training set and the validation set, using the multi-sample dropout regularization technology can accelerate the training speed, reduce the number of iterations, and achieve lower error rates and loss. © 2022</t>
  </si>
  <si>
    <t>Pattern Recognition</t>
  </si>
  <si>
    <t>132</t>
  </si>
  <si>
    <t>108948</t>
  </si>
  <si>
    <t>10.1016/j.patcog.2022.108948</t>
  </si>
  <si>
    <t>https://www.scopus.com/inward/record.uri?eid=2-s2.0-85135328105&amp;doi=10.1016%2fj.patcog.2022.108948&amp;partnerID=40&amp;md5=7b8202e557d475783503ca5569701eeb</t>
  </si>
  <si>
    <t>Liu K.; Reddivari S.; Reddivari K.</t>
  </si>
  <si>
    <t>Liu, Kaihua (57910996600); Reddivari, Sandeep (49663771900); Reddivari, Kalyan (57912191800)</t>
  </si>
  <si>
    <t>57910996600; 49663771900; 57912191800</t>
  </si>
  <si>
    <t>Artificial Intelligence in Software Requirements Engineering: State-of-the-Art</t>
  </si>
  <si>
    <t>Requirements Engineering (RE) is a very important activity in the software development life cycle. Poorly executed RE steps can result in poor quality software and expensive maintenance cost. Although researchers have previously related and applied artificial intelligence (AI) to RE, little is known about the specific role of AI in RE process. In particular, there are insufficient understandings about how AI should be incorporated in the RE process to produce high quality, clear and detailed requirements. In this paper, we present the current state-of-the-art of AI in RE. We reviewed the literature published between January 2015 to December 2021 in order to understand how the state of the art of AI branches such as machine learning, classification, and natural language processing (NLP) has advanced the field of RE. Each recent study is summarized and the advancement to the RE field is presented. There is an apparent direction of applying NLP techniques and supervised learning techniques such as classification to requirements documents. This study provides a summary and direction of the AI applications in the field of RE.  © 2022 IEEE.</t>
  </si>
  <si>
    <t>Proceedings - 2022 IEEE 23rd International Conference on Information Reuse and Integration for Data Science, IRI 2022</t>
  </si>
  <si>
    <t>10.1109/IRI54793.2022.00034</t>
  </si>
  <si>
    <t>https://www.scopus.com/inward/record.uri?eid=2-s2.0-85139064662&amp;doi=10.1109%2fIRI54793.2022.00034&amp;partnerID=40&amp;md5=b3a7b90fa6ea417ffec8f00f33d9f1b7</t>
  </si>
  <si>
    <t>Lucassen G.; Dalpiaz F.; van der Werf J.M.E.M.; Brinkkemper S.</t>
  </si>
  <si>
    <t>Lucassen, Garm (55320535500); Dalpiaz, Fabiano (24400635100); van der Werf, Jan Martijn E. M. (56405278900); Brinkkemper, Sjaak (15043525500)</t>
  </si>
  <si>
    <t>55320535500; 24400635100; 56405278900; 15043525500</t>
  </si>
  <si>
    <t>Improving agile requirements: the Quality User Story framework and tool</t>
  </si>
  <si>
    <t>User stories are a widely used notation for formulating requirements in agile development projects. Despite their popularity in industry, little to no academic work is available on assessing their quality. The few existing approaches are too generic or employ highly qualitative metrics. We propose the Quality User Story Framework, consisting of 14 quality criteria that user story writers should strive to conform to. Additionally, we introduce the conceptual model of a user story, which we rely on to design the AQUSA software tool. AQUSA aids requirements engineers in turning raw user stories into higher-quality ones by exposing defects and deviations from good practice in user stories. We evaluate our work by applying the framework and a prototype implementation to three user story sets from industry. © 2015 IEEE.</t>
  </si>
  <si>
    <t>10.1007/s00766-016-0250-x</t>
  </si>
  <si>
    <t>https://www.scopus.com/inward/record.uri?eid=2-s2.0-84962165147&amp;doi=10.1007%2fs00766-016-0250-x&amp;partnerID=40&amp;md5=5089e95d920e836cb7d41266f68d772a</t>
  </si>
  <si>
    <t>Lucassen G.; Dalpiaz F.; Van Der Werf J.M.E.M.; Brinkkemper S.</t>
  </si>
  <si>
    <t>Lucassen, Garm (55320535500); Dalpiaz, Fabiano (24400635100); Van Der Werf, Jan Martijn E.M. (56405278900); Brinkkemper, Sjaak (15043525500)</t>
  </si>
  <si>
    <t>Forging high-quality User Stories: Towards a discipline for Agile Requirements</t>
  </si>
  <si>
    <t>User stories are a widely adopted requirements notation in agile development. Yet, user stories are too often poorly written in practice and exhibit inherent quality defects. Triggered by this observation, we propose the Quality User Story (QUS) framework, a set of 13 quality criteria that user story writers should strive to conform to. Based on QUS, we present the Automatic Quality User Story Artisan (AQUSA) software tool. Relying on natural language processing (NLP) techniques, AQUSA detects quality defects and suggest possible remedies. We describe the architecture of AQUSA, its implementation, and we report on an evaluation that analyzes 1023 user stories obtained from 18 software companies. Our tool does not yet reach the ambitious 100 % recall that Daniel Berry and colleagues require NLP tools for RE to achieve. However, we obtain promising results and we identify some improvements that will substantially improve recall and precision. © 2016, The Author(s).</t>
  </si>
  <si>
    <t>2015 IEEE 23rd International Requirements Engineering Conference, RE 2015 - Proceedings</t>
  </si>
  <si>
    <t>7320415</t>
  </si>
  <si>
    <t>10.1109/RE.2015.7320415</t>
  </si>
  <si>
    <t>https://www.scopus.com/inward/record.uri?eid=2-s2.0-84962428779&amp;doi=10.1109%2fRE.2015.7320415&amp;partnerID=40&amp;md5=9db0d36604830f712068c38ff77fba79</t>
  </si>
  <si>
    <t>Mahmoud A.; Carver D.</t>
  </si>
  <si>
    <t>Mahmoud, Anas (36559998700); Carver, Doris (7006941332)</t>
  </si>
  <si>
    <t>36559998700; 7006941332</t>
  </si>
  <si>
    <t>Exploiting online human knowledge in Requirements Engineering</t>
  </si>
  <si>
    <t>Data-driven Natural Language Processing (NLP) methods have noticeably advanced in the past few years. These advances can be tied to the drastic growth of the quality of collaborative knowledge bases (KB) available on the World Wide Web. Such KBs contain vast amounts of up-to-date structured human knowledge and common sense data that can be exploited by NLP methods to discover otherwise-unseen semantic dimensions in text, aiding in tasks related to natural language understanding, classification, and retrieval. Motivated by these observations, we describe our research agenda for exploiting online human knowledge in Requirements Engineering (RE). The underlying assumption is that requirements are a product of the human domain knowledge that is expressed mainly in natural language. In particular, our research is focused on methods that exploit the online encyclopedia Wikipedia as a textual corpus. Wikipedia provides access to a massive number of real-world concepts organized in hierarchical semantic structures. Such knowledge can be analyzed to provide automated support for several exhaustive RE activities including requirements elicitation, understanding, modeling, traceability, and reuse, across multiple application domains. This paper describes our preliminary findings in this domain, current state of research, and prospects of our future work. © 2015 IEEE.</t>
  </si>
  <si>
    <t>7320434</t>
  </si>
  <si>
    <t>10.1109/RE.2015.7320434</t>
  </si>
  <si>
    <t>https://www.scopus.com/inward/record.uri?eid=2-s2.0-84962467889&amp;doi=10.1109%2fRE.2015.7320434&amp;partnerID=40&amp;md5=283f418ab838649fccc0f00deecd3b20</t>
  </si>
  <si>
    <t>Mahmoud A.; Niu N.</t>
  </si>
  <si>
    <t>Mahmoud, Anas (36559998700); Niu, Nan (36856329200)</t>
  </si>
  <si>
    <t>36559998700; 36856329200</t>
  </si>
  <si>
    <t>On the role of semantics in automated requirements tracing</t>
  </si>
  <si>
    <t>In this paper, we investigate the potential benefits of utilizing natural language semantics in automated traceability link retrieval. In particular,we evaluate the performance of a wide spectrum of semantically enabled information retrieval methods in capturing and presenting requirements traceability links in software systems. Our objectives are to gain more operational insights into these methods and to provide practical guidelines for the design and development of effective requirements tracing and management tools. To achieve our research objectives, we conduct an experimental analysis using three datasets from various application domains. Results show that considering more semantic relations in traceability link retrieval does not necessarily lead to higher quality results. Instead, a more focused semantic support, that targets specific semantic relations, is expected to have a greater impact on the overall performance of tracing tools. In addition, our analysis shows that explicit semantic methods, that exploit local or domain-specific sources of knowledge, often achieve a more satisfactory performance than latent methods, or methods that derive semantics from external or general-purpose knowledge sources. © Springer-Verlag London 2014.</t>
  </si>
  <si>
    <t>A001</t>
  </si>
  <si>
    <t>10.1007/s00766-013-0199-y</t>
  </si>
  <si>
    <t>https://www.scopus.com/inward/record.uri?eid=2-s2.0-84943348564&amp;doi=10.1007%2fs00766-013-0199-y&amp;partnerID=40&amp;md5=9aa1fb7bafe7d789f03eefe8e7eab0f9</t>
  </si>
  <si>
    <t>Malhotra R.; Chug A.; Hayrapetian A.; Raje R.</t>
  </si>
  <si>
    <t>Malhotra, Ruchika (15758058000); Chug, Anuradha (56168650500); Hayrapetian, Allenoush (57189889735); Raje, Rajeev (6701688211)</t>
  </si>
  <si>
    <t>15758058000; 56168650500; 57189889735; 6701688211</t>
  </si>
  <si>
    <t>Analyzing and evaluating security features in software requirements</t>
  </si>
  <si>
    <t>Software requirements, for complex projects, often contain specifications of non-functional attributes (e.g., security-related features). The process of analyzing such requirements is laborious and error prone. Due to the inherent free-flowing nature of software requirements, it is tempting to apply Natural Language Processing (NLP) based Machine Learning (ML) techniques for analyzing these documents from the point of view of comprehensiveness and consistency. In this paper, we propose novel semi-Automatic methodology that can assess the security requirements of the software system from the perspective of completeness, contradiction, and inconsistency. Security standards introduced by the ISO are used to construct a model for classifying security-based requirements using NLP-based ML techniques. Hence, this approach aims to identify the appropriate structures that underlie software requirement documents. Once such structures are formalized and empirically validated, they will provide guidelines to software organizations for generating comprehensive and unambiguous requirement specification documents as related to security-oriented features. The proposed solution will assist organizations during the early phases of developing secure software and reduce overall development effort and costs. © 2016 IEEE.</t>
  </si>
  <si>
    <t>2016 1st International Conference on Innovation and Challenges in Cyber Security, ICICCS 2016</t>
  </si>
  <si>
    <t>7542334</t>
  </si>
  <si>
    <t>10.1109/ICICCS.2016.7542334</t>
  </si>
  <si>
    <t>https://www.scopus.com/inward/record.uri?eid=2-s2.0-84985996112&amp;doi=10.1109%2fICICCS.2016.7542334&amp;partnerID=40&amp;md5=d6f098cd8a0c9edc57edbabc9bd9ef18</t>
  </si>
  <si>
    <t>Marko N.; Leitner A.; Herbst B.; Wallner A.</t>
  </si>
  <si>
    <t>Marko, Nadja (36699867400); Leitner, Andrea (37102046000); Herbst, Beate (57119357000); Wallner, Alfred (57119296900)</t>
  </si>
  <si>
    <t>36699867400; 37102046000; 57119357000; 57119296900</t>
  </si>
  <si>
    <t>Combining Xtext and OSLC for Integrated Model-Based Requirements Engineering</t>
  </si>
  <si>
    <t>Requirements engineering is still a very challenging issue. This is true for most embedded systems and especially for safety-critical ones. A good requirements engineering process is vital for the development of high quality products, but these systems are often highly complex which complicates the respective activities. The use of natural language requirements is common practice, because they are easy to use and understand for people working in different engineering disciplines. However, natural language is ambiguous and vague and may lead to misunderstandings and incorrect implementations. Another big challenge is the often loose coupling of requirements and other development artifacts which hinders traceability and thus impact analysis. This paper presents an approach based on the Xtext framework for the implementation of a restricted requirements language to support engineers in writing requirements with higher quality. In order to improve tool integration, the approach supports OSLC (Open Services for Lifecycle Collaboration), which is a promising method to better support traceability using linked data principles. By using OSLC it is possible to easily extend existing requirements management tools with our proposed implementation for requirements semi-formalization as long as requirements management tools provide the respective OSLC interface. Finally, we will demonstrate our concepts using an example from the automotive domain. The example shows how the tool implementation can be integrated in a tool chain. © 2015 IEEE.</t>
  </si>
  <si>
    <t>Proceedings - 41st Euromicro Conference on Software Engineering and Advanced Applications, SEAA 2015</t>
  </si>
  <si>
    <t>7302444</t>
  </si>
  <si>
    <t>10.1109/SEAA.2015.11</t>
  </si>
  <si>
    <t>https://www.scopus.com/inward/record.uri?eid=2-s2.0-84958237425&amp;doi=10.1109%2fSEAA.2015.11&amp;partnerID=40&amp;md5=8486ef62cd51dc7053167fe84798738d</t>
  </si>
  <si>
    <t>Masuda S.; Matsuodani T.; Tsuda K.</t>
  </si>
  <si>
    <t>Masuda, Satoshi (36803608600); Matsuodani, Tohru (6507446701); Tsuda, Kazuhiko (7202766371)</t>
  </si>
  <si>
    <t>36803608600; 6507446701; 7202766371</t>
  </si>
  <si>
    <t>Syntactic rules of extracting test cases from software requirements</t>
  </si>
  <si>
    <t>Software testing has been important for software engineering to contribute to developing high-quality software. Decision table testing is a general technique to derive test cases with information on conditions and actions from software requirements. Deriving conditions and actions from requirements is key for efficient decision table testing. This paper proposes and evaluates a syntax-tree similarity method for test-case derivability in software requirements. We define the syntax-tree similarity technique used in our method as selecting test-case-derivable sentences from requirements at pre-processing. The syntax tree is defined as divided into sub-trees that consist of a root to each leaf. The syntax-tree similarity technique calculates the similarity between each sentence in the requirements and test-case-derivable sentence. The method involves natural language processing to select test-case-derivable sentences from the requirements on the basis of syntax-tree similarity then determines conditions and actions through dependency and case analyses. After selecting requirements by syntax-tree similarity, our method derives conditions and actions from the requirements by the deriving rules we define. Experiments revealed that the F-measure of the accuracy of the derived conditions and actions increased 16% from that reported in prior work. The results from case studies further indicate the effectiveness of our method.  © 2021 IEEE.</t>
  </si>
  <si>
    <t>10.1145/3012258.3012262</t>
  </si>
  <si>
    <t>https://www.scopus.com/inward/record.uri?eid=2-s2.0-85014789228&amp;doi=10.1145%2f3012258.3012262&amp;partnerID=40&amp;md5=21a1516f8a2191b477a0a64614d6a10b</t>
  </si>
  <si>
    <t>Syntax-tree similarity for test-case derivability in software requirements</t>
  </si>
  <si>
    <t>Software testing has been one of the important area for software engineering to contribute high quality software. Decision table testing is a general technique to develop test cases from information about conditions and actions from software requirements. Extracting conditions and actions from requirements is the key for efficient decision table testing. We propose, experiment upon, and evaluate the syntactic rules of conditions and actions for automatic software test cases generation. Our approach uses natural language processing to select sentences from the requirements on the basis of syntactic similarity, and then to determines conditions and actions through dependency and case analysis. Experiments revealed that F-measure reached from 0.70 to 0.77 for different style of descriptions. The results on case studies further demonstrate the effectiveness of our technique. © 2016 ACM.</t>
  </si>
  <si>
    <t>Proceedings - 2021 IEEE 14th International Conference on Software Testing, Verification and Validation Workshops, ICSTW 2021</t>
  </si>
  <si>
    <t>9440190</t>
  </si>
  <si>
    <t>10.1109/ICSTW52544.2021.00037</t>
  </si>
  <si>
    <t>https://www.scopus.com/inward/record.uri?eid=2-s2.0-85108030234&amp;doi=10.1109%2fICSTW52544.2021.00037&amp;partnerID=40&amp;md5=575536be81064cda736de9c7fe3d2886</t>
  </si>
  <si>
    <t>Memon K.A.; Xiaoling X.</t>
  </si>
  <si>
    <t>Memon, Kamran Ali (57207728022); Xiaoling, Xia (57209745446)</t>
  </si>
  <si>
    <t>57207728022; 57209745446</t>
  </si>
  <si>
    <t>Deciphering and analyzing software requirements employing the techniques of Natural Language processing</t>
  </si>
  <si>
    <t>Deciphering human language by Requirement Analysts is the key issue in Software Development. Clients communicate their software requirements in raw form. In this paper, we are presenting certain techniques of Natural Language processing which work out greatly to extract information properly and minimizing the bugs that may generate in later parts of Software Development. In today's era, the latest technological development in Artificial Intelligence has enabled machines to process the text to a certain level. Natural Language understanding is so far the most critical problem; the Software community is facing today in requirements gathering. In this study, using the techniques of Natural Language Interpretation, Testers and Software Developers can chalk out the more exact requirements from customers which can improve the Quality of Software to a certain level. © 2019 Association for Computing Machinery.</t>
  </si>
  <si>
    <t>10.1145/3325730.3325757</t>
  </si>
  <si>
    <t>https://www.scopus.com/inward/record.uri?eid=2-s2.0-85068863037&amp;doi=10.1145%2f3325730.3325757&amp;partnerID=40&amp;md5=e6e8859109ae0e570d34ade958f21faa</t>
  </si>
  <si>
    <t>Merten T.; Krämer D.; Mager B.; Schell P.; Bürsner S.; Paech B.</t>
  </si>
  <si>
    <t>Merten, Thorsten (37056213400); Krämer, Daniel (57169636700); Mager, Bastian (56576382600); Schell, Paul (57170214000); Bürsner, Simone (37055552400); Paech, Barbara (8555178100)</t>
  </si>
  <si>
    <t>37056213400; 57169636700; 56576382600; 57170214000; 37055552400; 8555178100</t>
  </si>
  <si>
    <t>Do information retrieval algorithms for automated traceability perform effectively on issue tracking system data?</t>
  </si>
  <si>
    <t>[Context and motivation] Traces between issues in issue tracking systems connect bug reports to software features, they connect competing implementation ideas for a software feature or they identify duplicate issues. However, the trace quality is usually very low. To improve the trace quality between requirements, features, and bugs, information retrieval algorithms for automated trace retrieval can be employed. Prevailing research focusses on structured and well-formed documents, such as natural language requirement descriptions. In contrast, the information in issue tracking systems is often poorly structured and contains digressing discussions or noise, such as code snippets, stack traces, and links. Since noise has a negative impact on algorithms for automated trace retrieval, this paper asks: [Question/Problem] Do information retrieval algorithms for automated traceability perform effectively on issue tracking system data? [Results] This paper presents an extensive evaluation of the performance of five information retrieval algorithms. Furthermore, it investigates different preprocessing stages (e.g. stemming or differentiating code snippets from natural language) and evaluates how to take advantage of an issue’s structure (e.g. title, description, and comments) to improve the results. The results show that algorithms perform poorly without considering the nature of issue tracking data, but can be improved by project-specific preprocessing and term weighting. [Contribution] Our results show how automated trace retrieval on issue tracking system data can be improved. Our manually created gold standard and an open-source implementation based on the OpenTrace platform can be used by other researchers to further pursue this topic. © Springer International Publishing Switzerland 2016.</t>
  </si>
  <si>
    <t>9619</t>
  </si>
  <si>
    <t>10.1007/978-3-319-30282-9_4</t>
  </si>
  <si>
    <t>https://www.scopus.com/inward/record.uri?eid=2-s2.0-84960867967&amp;doi=10.1007%2f978-3-319-30282-9_4&amp;partnerID=40&amp;md5=6c596976d0d55993f3a9a7c6796a400a</t>
  </si>
  <si>
    <t>Mishra S.; Sharma A.</t>
  </si>
  <si>
    <t>Mishra, Siba (57200330225); Sharma, Arpit (59096558700)</t>
  </si>
  <si>
    <t>57200330225; 59096558700</t>
  </si>
  <si>
    <t>Automatic Word Embeddings-Based Glossary Term Extraction from Large-Sized Software Requirements</t>
  </si>
  <si>
    <t>Software requirements are usually written in common natural language. An important quality criterion for each documented requirement is unambiguity. This simply means that all readers of the requirement must arrive at the same understanding of the requirement. Due to differences in the domain expertise of requirements engineer and other stakeholders of the project, it is possible that requirements contain several words that allow alternative interpretations. Our objective is to identify and detect domain specific ambiguous words in natural language text. This paper applies an NLP technique based on word embeddings to detect such ambiguous words. More specifically, we measure the ambiguity potential of most frequently used computer science (CS) words when they are used in other application areas or subdomains of engineering, e.g., aerospace, civil, petroleum, biomedical and environmental etc. Our extensive and detailed experiments with several different subdomains show that word embedding based techniques are very effective in identifying domain specific ambiguities. Our findings also demonstrate that this technique can be applied to documents of varying sizes. Finally, we provide pointers for future research. © 2019 IEEE.</t>
  </si>
  <si>
    <t>12045 LNCS</t>
  </si>
  <si>
    <t>10.1007/978-3-030-44429-7_15</t>
  </si>
  <si>
    <t>https://www.scopus.com/inward/record.uri?eid=2-s2.0-85083981344&amp;doi=10.1007%2f978-3-030-44429-7_15&amp;partnerID=40&amp;md5=4527eed0e35f88ef7c3ca2a4812c3380</t>
  </si>
  <si>
    <t>On the use of word embeddings for identifying domain specific ambiguities in requirements</t>
  </si>
  <si>
    <t>[Context and Motivation] Requirements glossary defines specialized and technical terms used in a requirements document. A requirements glossary helps in improving the quality and understandability of requirements documents. [Question/Problem] Manual extraction of glossary terms from a large body of requirements is an expensive and time-consuming task. This paper proposes a fundamentally new approach for automated extraction of glossary terms from large-sized requirements documents. [Principal Ideas/Result] Firstly, our technique extracts the candidate glossary terms by applying text chunking. Next, we apply a novel word embeddings based semantic filter for reducing the number of candidate glossary terms. Since word embeddings are very effective in identifying terms that are semantically very similar, this filter ensures that only domain-specific terms are present in the final set of glossary terms. We create a domain-specific reference corpus for home automation by Wikipedia crawling and use it for computing the semantic similarity scores of candidate glossary terms. We apply our technique to a large-sized requirements document, i.e., a CrowdRE dataset with around 3000 crowd-generated requirements for smart home applications. Semantic filtering reduces the number of glossary terms by 92.7%. To evaluate the quality of our extracted glossary terms we manually create the ground truth data from CrowdRE dataset and use it for computing precision and recall. Additionally, we also compute the requirements coverage of these extracted glossary terms. [Contributions] Our detailed experiments show that word embeddings based semantic filtering can be very useful for extracting glossary terms from a large body of requirements. © 2020, Springer Nature Switzerland AG.</t>
  </si>
  <si>
    <t>8933736</t>
  </si>
  <si>
    <t>10.1109/REW.2019.00048</t>
  </si>
  <si>
    <t>https://www.scopus.com/inward/record.uri?eid=2-s2.0-85078011940&amp;doi=10.1109%2fREW.2019.00048&amp;partnerID=40&amp;md5=495765de1f29e18ddca87f5a21a75afa</t>
  </si>
  <si>
    <t>Miskell C.; Diaz R.; Ganeriwala P.; Slhoub K.; Nembhard F.</t>
  </si>
  <si>
    <t>Miskell, Cameron (58934451200); Diaz, Richard (58934378400); Ganeriwala, Parth (57743409800); Slhoub, Khaled (55330658400); Nembhard, Fitzroy (57189006821)</t>
  </si>
  <si>
    <t>58934451200; 58934378400; 57743409800; 55330658400; 57189006821</t>
  </si>
  <si>
    <t>Automated Framework to Extract Software Requirements from Source Code</t>
  </si>
  <si>
    <t>Software maintenance and innovation are constant challenges across industries, especially as programming languages evolve with technology. Similarly, poor lexicon quality degrades program comprehension, increasing the effort required by developers to improve existing software products. To address these challenges, we propose a novel automated framework that extracts software requirements directly from source code using a baseline AI language model applied to a Java code base. Leveraging natural language processing techniques, the framework validates programs and generates easily readable requirements by analyzing file contents. The framework enhances agility and flexibility by providing comprehensive documentation for existing software systems. It caters to both experienced and less-experienced developers, offering an intuitive graphical user interface and enabling efficient identification and resolution of errors. The resulting output facilitates natural interaction through language processing. By automating the extraction process, the framework allows developers to better understand software systems, make informed decisions, and adapt to evolving needs. © 2023 Owner/Author.</t>
  </si>
  <si>
    <t>10.1145/3639233.3639242</t>
  </si>
  <si>
    <t>https://www.scopus.com/inward/record.uri?eid=2-s2.0-85187549687&amp;doi=10.1145%2f3639233.3639242&amp;partnerID=40&amp;md5=06311d289802988a2a90db4e2fb8ce84</t>
  </si>
  <si>
    <t>Moharil A.; Sharma A.</t>
  </si>
  <si>
    <t>Moharil, Ambarish (57216492822); Sharma, Arpit (59096558700)</t>
  </si>
  <si>
    <t>57216492822; 59096558700</t>
  </si>
  <si>
    <t>TABASCO: A transformer based contextualization toolkit</t>
  </si>
  <si>
    <t>Ambiguity means that a single reader can interpret the natural language (NL) software requirement in more than one way or that multiple readers come to different interpretations. Ambiguous NL software requirements may result in the production of poor quality software artifacts in later stages of software development life cycle. In the literature, several approaches have been proposed to identify multiple meanings of commonly used terms in different application domains, i.e., cross-domain ambiguities. Unfortunately, none of these approaches are able to identify different contexts in which a term has been used within the requirements document of a single application domain or in a multidisciplinary project document. We call this type of ambiguity as intra-domain ambiguity. We have designed and developed TABASCO, a tool for detecting and identifying such ambiguities present in the software requirements and other project-related documents. TABASCO focuses on detecting nouns which have been used in different contexts by computing contextual embeddings represented as real-valued vector for every instance of a candidate noun present in the document using the Bidirectional Encoder Representations from Transformers (BERT) as a language model. In the next step, K-means clustering algorithm with cosine similarity metric is applied which allows creating multiple clusters for a candidate noun such that each cluster contains all those instances which have been used in a similar context. TABASCO provides an intuitive graphical user interface which can be used to generate a summary report and a detailed report for each target noun providing the details of different contexts in which this noun has been used in the project. The detailed report also presents the most similar words for every occurrence of the target noun and some example sentences from the corpus to show the context-specific meaning. Our demonstrative experiments using two case studies show that TABASCO can be very useful for identifying intra-domain ambiguities in software requirements and other project-related documents written using NL text. © 2023 Elsevier B.V.</t>
  </si>
  <si>
    <t>Science of Computer Programming</t>
  </si>
  <si>
    <t>230</t>
  </si>
  <si>
    <t>102994</t>
  </si>
  <si>
    <t>10.1016/j.scico.2023.102994</t>
  </si>
  <si>
    <t>https://www.scopus.com/inward/record.uri?eid=2-s2.0-85165224093&amp;doi=10.1016%2fj.scico.2023.102994&amp;partnerID=40&amp;md5=08b5f82d7e50d9aa5510a0b18bd4d3a1</t>
  </si>
  <si>
    <t>Mokammel F.; Coatanéa E.; Coatanéa J.; Nenchev V.; Blanco E.; Pietola M.</t>
  </si>
  <si>
    <t>Mokammel, Faisal (55836603600); Coatanéa, Eric (6505895583); Coatanéa, Joonas (57203267526); Nenchev, Vladislav (57204822252); Blanco, Eric (15046448100); Pietola, Matti (6602121214)</t>
  </si>
  <si>
    <t>55836603600; 6505895583; 57203267526; 57204822252; 15046448100; 6602121214</t>
  </si>
  <si>
    <t>Automatic requirements extraction, analysis, and graph representation using an approach derived from computational linguistics</t>
  </si>
  <si>
    <t>The quality of requirements is fundamental in engineering projects. Requirements are usually expressed partly or totally in a natural language (NL) format and come from different documents. Their qualities are difficult to analyze manually, especially when hundreds of thousands of them have to be considered. The assistance of software tools is becoming a necessity. In this article, the goal was to develop a set of metrics supported by NL processing (NLP) methods supporting different types of analysis of requirements and especially the dependencies between requirements. An NLP approach is used to extract requirements from text; to analyze their quality, links, similarities, and contradictions; and to cluster them automatically. The analysis framework includes different combinations of methods such as cosine similarity, singular value decomposition, and K-means clustering. One objective is to assess the possible combinations and their impacts on detections to establish optimal metrics. Three case studies exemplify and support the validation of the work. Graphs are used to represent the automatically clustered requirements, as well as similarities and contradictions. A new contradiction analysis process that includes a rules-based approach is proposed. Finally, the combined results are presented as graphs, which unveil the semantic relationships between requirements. Subsection 4.8 compares the results provided by the tool and the results obtained from experts. The proposed methodology and network presentation not only support the understanding of the semantics of the requirements but also help requirements engineers to review the interconnections and consistency of requirements systems and manage traceability. The approach is valuable during the early phases of projects when requirements are evolving dynamically and rapidly. © 2018 Wiley Periodicals, Inc.</t>
  </si>
  <si>
    <t>Systems Engineering</t>
  </si>
  <si>
    <t>10.1002/sys.21461</t>
  </si>
  <si>
    <t>https://www.scopus.com/inward/record.uri?eid=2-s2.0-85051070662&amp;doi=10.1002%2fsys.21461&amp;partnerID=40&amp;md5=3eda877d27e29b86325972739debf3d8</t>
  </si>
  <si>
    <t>Mosser S.; Pulgar C.; Reinharz V.</t>
  </si>
  <si>
    <t>Mosser, Sébastien (25654364800); Pulgar, Corinne (57779830000); Reinharz, Vladimir (55295877200)</t>
  </si>
  <si>
    <t>25654364800; 57779830000; 55295877200</t>
  </si>
  <si>
    <t>Modelling Agile Backlogs as Composable Artifacts to support Developers and Product Owners</t>
  </si>
  <si>
    <t>The DevOps paradigm combines (agile) software development and IT operations to deliver high-quality software, thanks to a feedback loop where “ops” feed “devs” and vice versa. In this context, a central challenge is to reduce as much as possible the duration of the feedback loop, allowing stakeholders to reduce their time-to-market and release process duration. This paper describes how to model a product backlog (usually expressed as informal user stories in plain text in an agile context) as a queryable graph-based model. This graph is automatically extracted from existing artifacts thanks to natural language processing techniques. Then, developers and product owners can support their iteration planning process by leveraging the model, enacting a short-range impact analysis feedback loop of their planning decisions. The approach considers the iterative and incremental nature of agile methods through the definition of composition operators to incrementally build the models. We have validated this approach on five industrial scenarios, on top of a reference open-source dataset of 22 product backlogs, representing 1, 671 user stories © 2022. Journal of Object Technology.All Rights Reserved.</t>
  </si>
  <si>
    <t>Journal of Object Technology</t>
  </si>
  <si>
    <t>a3</t>
  </si>
  <si>
    <t>10.5381/jot.2022.21.3.a3</t>
  </si>
  <si>
    <t>https://www.scopus.com/inward/record.uri?eid=2-s2.0-85133375509&amp;doi=10.5381%2fjot.2022.21.3.a3&amp;partnerID=40&amp;md5=fccdedbf25eb6559ef64b2a1b9e039f4</t>
  </si>
  <si>
    <t>Mustafa A.; Wan Kadir W.M.N.; Ibrahim N.</t>
  </si>
  <si>
    <t>Mustafa, Ahmad (57196448653); Wan Kadir, Wan M. N. (57402894000); Ibrahim, Noraini (55432531600)</t>
  </si>
  <si>
    <t>57196448653; 57402894000; 55432531600</t>
  </si>
  <si>
    <t>Automated Natural Language Requirements Analysis using General Architecture for Text Engineering (GATE) Framework</t>
  </si>
  <si>
    <t>Stakeholders exchange ideas and describe requirements of the system in natural language at the early stage of software development. These software requirements tend to be unclear, incomplete and inconsistent. However, better quality and low cost of system development are grounded on clear, complete and consistent requirements statements. Requirements boilerplate is an effective way to minimise the ambiguity from the natural language requirements. But manual conformance of natural language requirements with boilerplate is time consuming and difficult task. This paper aims to automate requirements analysis phase using language processing tool. We propose a natural language requirement analysis model. We also present an open source General Architecture for Text Engineering (GATE) framework for automatically checking of natural language requirements against boilerplates for conformance. The evaluation of proposed approach shows that GATE framework is only capable of detecting ambiguity in natural language requirements. We also present the rules to minimise ambiguity, incompleteness, and inconsistency.</t>
  </si>
  <si>
    <t>Journal of Telecommunication, Electronic and Computer Engineering</t>
  </si>
  <si>
    <t>3-4 Special Issue</t>
  </si>
  <si>
    <t>https://www.scopus.com/inward/record.uri?eid=2-s2.0-85041704776&amp;partnerID=40&amp;md5=0574edf7107c561dacf2f3e76a703a4f</t>
  </si>
  <si>
    <t>Müter L.; Deoskar T.; Mathijssen M.; Brinkkemper S.; Dalpiaz F.</t>
  </si>
  <si>
    <t>Müter, Laurens (57203857421); Deoskar, Tejaswini (52163376800); Mathijssen, Max (57208174776); Brinkkemper, Sjaak (15043525500); Dalpiaz, Fabiano (24400635100)</t>
  </si>
  <si>
    <t>57203857421; 52163376800; 57208174776; 15043525500; 24400635100</t>
  </si>
  <si>
    <t>Refinement of User Stories into Backlog Items: Linguistic Structure and Action Verbs: Research Preview</t>
  </si>
  <si>
    <t>[Context and motivation] In agile system development methods, product backlog items (or tasks) play a prominent role in the refinement process of software requirements. Tasks are typically defined manually to operationalize how to implement a user story; tasks formulation often exhibits low quality, perhaps due to the tedious nature of decomposing user stories into tasks. [Question/Problem] We investigate the process through which user stories are refined into tasks. [Principal ideas/results] We study a large collection of backlog items (N = 1,593), expressed as user stories and sprint tasks, looking for linguistic patterns that characterize the required feature of the user story requirement. Through a linguistic analysis of sentence structures and action verbs (the main verb in the sentence that indicates the task), we discover patterns of labeling refinements, and explore new ways for refinement process improvement. [Contribution] By identifying a set of 7 elementary action verbs and a template for task labels, we make first steps towards comprehending the refinement of user stories to backlog items. © 2019, Springer Nature Switzerland AG.</t>
  </si>
  <si>
    <t>11412 LNCS</t>
  </si>
  <si>
    <t>10.1007/978-3-030-15538-4_7</t>
  </si>
  <si>
    <t>https://www.scopus.com/inward/record.uri?eid=2-s2.0-85064038669&amp;doi=10.1007%2f978-3-030-15538-4_7&amp;partnerID=40&amp;md5=b9535284a83a58546b16ab8ae5e35adc</t>
  </si>
  <si>
    <t>Naeem A.; Aslam Z.; Shah M.A.</t>
  </si>
  <si>
    <t>Naeem, Afrah (57216414869); Aslam, Zeeshan (57212032860); Shah, Munam Ali (36816311600)</t>
  </si>
  <si>
    <t>57216414869; 57212032860; 36816311600</t>
  </si>
  <si>
    <t>Analyzing quality of software requirements; A comparison study on NLP tools</t>
  </si>
  <si>
    <t>For analyzing the quality of software requirements and performing natural language (NL) processing, only few of many tools are currently adopted by the industry. Most of these tools are no longer available and are obsoleted due to their complexity, less accuracy and high cost. The only few remaining tools exhibit either optimum functionality or at sub-optimal level. Some tools are limited to processing NL whereas the rest check for grammatical mistakes. First, this paper performs comparison on five existing tools named as QVscribe, QuOD, Innoslate, RAT and RQA in which we compare features, functionality and quality indicators addressed by these tools. Second, we propose a new tool named as Requirement Assessment Tool (RAT) for analyzing quality of individual requirements and specification document. Finally, check the performance of these tools for automatically detecting ambiguity, deviations and quality affecting defects on the basis of real-world natural language requirements set i.e. golden standard data. The results of these tools concluded that RAT gives more accurate results for detecting defects in all categories except looking for negative sentences. © 2019 Chinese Automation and Computing Society in the UK-CACSUK.</t>
  </si>
  <si>
    <t>ICAC 2019 - 2019 25th IEEE International Conference on Automation and Computing</t>
  </si>
  <si>
    <t>8895182</t>
  </si>
  <si>
    <t>10.23919/IConAC.2019.8895182</t>
  </si>
  <si>
    <t>https://www.scopus.com/inward/record.uri?eid=2-s2.0-85075788759&amp;doi=10.23919%2fIConAC.2019.8895182&amp;partnerID=40&amp;md5=711f1f9e8298c49ef201d5d0647e8f83</t>
  </si>
  <si>
    <t>Natt Och Dag J.; Gervasi V.; Brinkkemper S.; Regnell B.</t>
  </si>
  <si>
    <t>Natt Och Dag, Johan (8239938100); Gervasi, Vincenzo (6602711200); Brinkkemper, Sjaak (15043525500); Regnell, Björn (35554843100)</t>
  </si>
  <si>
    <t>8239938100; 6602711200; 15043525500; 35554843100</t>
  </si>
  <si>
    <t>Speeding up requirements management in a product software company: Linking customer wishes to product requirements through linguistic engineering</t>
  </si>
  <si>
    <t>Developing large complex software products aimed for a broad market involves a great flow of wishes and requirements. The former are elicited from customers while the latter are brought forth by the developing organization. These are preferably kept separated to preserve the different perspectives. The interrelationships should however be identified and maintained to enable well-founded decisions. Unfortunately, the current manual linkage is cumbersome, time-consuming, and error-prone. This paper presents a pragmatic linguistic engineering approach to how statistical natural language processing may be used to support the manual linkage between customer wishes and product requirements by suggesting potential links. An evaluation with real requirements from industry is presented. It shows that in a realistic setting, automatic support could make linkage faster for at least 50% of the links. An estimation based on our evaluation also shows that considerable time savings are possible. The results, together with the identified enhancement, are promising for improving software quality and saving time in industrial requirements engineering. © 2004 IEEE.</t>
  </si>
  <si>
    <t>10.1109/ICRE.2004.1335685</t>
  </si>
  <si>
    <t>https://www.scopus.com/inward/record.uri?eid=2-s2.0-17044409177&amp;doi=10.1109%2fICRE.2004.1335685&amp;partnerID=40&amp;md5=4d967cc6f611d45a7000e93c7f871dfb</t>
  </si>
  <si>
    <t>Naumcheva, M.</t>
  </si>
  <si>
    <t>Naumcheva, Maria</t>
  </si>
  <si>
    <t>Deep Learning Models in Software Requirements Engineering</t>
  </si>
  <si>
    <t>Requirements elicitation is an important phase of any software project: the errors in requirements are more expensive to fix than the errors introduced at later stages of software life cycle. Nevertheless, many projects do not devote sufficient time to requirements. Automated requirements generation can improve the quality of software projects. In this article we have accomplished the first step of the research on this topic: we have applied the vanilla sentence autoencoder to the sentence generation task and evaluated its performance. The generated sentences are not plausible English and contain only a few meaningful words. We believe that applying the model to a larger dataset may produce significantly better results. Further research is needed to improve the quality of generated data.</t>
  </si>
  <si>
    <t>10.48550/arXiv.2105.07771</t>
  </si>
  <si>
    <t>https://arxiv.org/abs/2105.07771v1</t>
  </si>
  <si>
    <t>Navarro-Almanza R.; Juurez-Ramirez R.; Licea G.</t>
  </si>
  <si>
    <t>Navarro-Almanza, Raul (57194059186); Juurez-Ramirez, Reyes (57203224934); Licea, Guillermo (57195132906)</t>
  </si>
  <si>
    <t>57194059186; 57203224934; 57195132906</t>
  </si>
  <si>
    <t>Towards Supporting Software Engineering Using Deep Learning: A Case of Software Requirements Classification</t>
  </si>
  <si>
    <t>Software Requirements are the basis of high-quality software development process, each step is related to SR, these represent the needs and expectations of the software in a very detailed form. The software requirement classification (SRC) task requires a lot of human effort, specially when there are huge of requirements, therefore, the automation of SRC have been addressed using Natural Language Processing (NLP) and Information Retrieval (IR) techniques, however, generally requires human effort to analyze and create features from corpus (set of requirements). In this work, we propose to use Deep Learning (DL) to classify software requirements without labor intensive feature engineering. The model that we propose is based on Convolutional Neural Network (CNN) that has been state of art in other natural language related tasks. To evaluate our proposed model, PROMISE corpus was used, contains a set of labeled requirements in functional and 11 different categories of non-functional requirements. We achieve promising results on SRC using CNN even without handcrafted features. © 2017 IEEE.</t>
  </si>
  <si>
    <t>Proceedings - 2017 5th International Conference in Software Engineering Research and Innovation, CONISOFT 2017</t>
  </si>
  <si>
    <t>2018-January</t>
  </si>
  <si>
    <t>10.1109/CONISOFT.2017.00021</t>
  </si>
  <si>
    <t>https://www.scopus.com/inward/record.uri?eid=2-s2.0-85050973538&amp;doi=10.1109%2fCONISOFT.2017.00021&amp;partnerID=40&amp;md5=90378a25fc624044bea27b4feb297d99</t>
  </si>
  <si>
    <t>Nikora A.P.; Balcom G.</t>
  </si>
  <si>
    <t>Nikora, Allen P. (6602184021); Balcom, Galen (35118596700)</t>
  </si>
  <si>
    <t>6602184021; 35118596700</t>
  </si>
  <si>
    <t>Automated identification of LTL patterns in natural language requirements</t>
  </si>
  <si>
    <t>Analyzing requirements for consistency and checking them for correctness can require significant effort, particularly if they have not been maintained with a requirements management tool (e.g., DOORS) or specified in a machine-readable notation. By restricting the number of requirements being analyzed, fewer opportunities exist for introducing errors into the analysis. This can be accomplished by subsetting the requirements and analyzing one subset at a time. Previous work showed that simple natural language processing and machine learning techniques can be used to identify temporal requirements within a set of natural language requirements. This paper builds on that work by detailing our results in applying these techniques to a set of natural-language temporal requirements taken from a current JPL mission and determining whether a requirement is one of the most frequently occurring types of temporal requirements. The ability to distinguish between different LTL patterns in natural-language requirements raises the possibility of automating the transformation of natural-language temporal requirements into LTL expressions. This would allow automated consistency checking and tracing of naturallanguage temporal requirements. Since correctness properties are often specified as LTL expressions, this would also provide a set of correctness properties against which abstract models of the system could be verified. © 2009 IEEE.</t>
  </si>
  <si>
    <t>Proceedings - International Symposium on Software Reliability Engineering, ISSRE</t>
  </si>
  <si>
    <t>5362112</t>
  </si>
  <si>
    <t>10.1109/ISSRE.2009.15</t>
  </si>
  <si>
    <t>https://www.scopus.com/inward/record.uri?eid=2-s2.0-77951491194&amp;doi=10.1109%2fISSRE.2009.15&amp;partnerID=40&amp;md5=0387fc5e729bacd36a5c313eac38089e</t>
  </si>
  <si>
    <t>Ogawa T.; Ohnishi A.; Shimakawa H.</t>
  </si>
  <si>
    <t>Ogawa, Takafumi (58198030000); Ohnishi, Atsushi (35318265800); Shimakawa, Hiromitsu (8529351700)</t>
  </si>
  <si>
    <t>58198030000; 35318265800; 8529351700</t>
  </si>
  <si>
    <t>A Retrieval Method of Software Requirements from Japanese Requirements Document with Dependency Analysis and Keywords</t>
  </si>
  <si>
    <t>Classification of software quality requirements for software quality is a major topic in software engineering. Many methods have been studied using machine learning such as convolutional neural networks and natural language processing. Many studies are being committed to this issue for Japanese language requirement documents as well. However, there is an issue that it is difficult to achieve both precision and recall. This study aims to achieve highly accurate extraction without false positives using keywords and dependency analysis, in light of previous studies.  © 2022 IEEE.</t>
  </si>
  <si>
    <t>Proceedings of IEEE Asia-Pacific Conference on Computer Science and Data Engineering, CSDE 2022</t>
  </si>
  <si>
    <t>10.1109/CSDE56538.2022.10089332</t>
  </si>
  <si>
    <t>https://www.scopus.com/inward/record.uri?eid=2-s2.0-85153686291&amp;doi=10.1109%2fCSDE56538.2022.10089332&amp;partnerID=40&amp;md5=635126fdaffa5524752cce026f00c90e</t>
  </si>
  <si>
    <t>Omoronyia I.; Sindre G.; Stålhane T.; Biffl S.; Moser T.; Sunindyo W.</t>
  </si>
  <si>
    <t>Omoronyia, Inah (24477574000); Sindre, Guttorm (6603548009); Stålhane, Tor (8693760700); Biffl, Stefan (6701704981); Moser, Thomas (25723604600); Sunindyo, Wikan (36081148700)</t>
  </si>
  <si>
    <t>24477574000; 6603548009; 8693760700; 6701704981; 25723604600; 36081148700</t>
  </si>
  <si>
    <t>A domain ontology building process for guiding requirements elicitation</t>
  </si>
  <si>
    <t>[Context and motivation] In Requirements Management, ontologies are used to reconcile gaps in the knowledge and common understanding among stakeholders during requirement elicitation, and therefore significantly improve the quality of the elicited requirements.[Question/problem] However, a precondition of state-of-the-art ontology approaches for requirements elicitation is an existing domain ontology. While this is not a trivial precondition, there are only a few reports on approaches to systematically and efficiently build domain ontologies, and these approaches are often highly biased towards their intended use. [Principal ideas/results] In this paper, we investigate an approach for building domain ontologies suitable for guiding requirements elicitation. We evaluate the feasibility of the approach based on a real-world industrial use case by analyzing natural language text from technical standards. [Contribution] A major outcome is that the proposed approach can help reduce the effort of building domain ontologies from the scratch. © 2010 Springer-Verlag.</t>
  </si>
  <si>
    <t>10.1007/978-3-642-14192-8_18</t>
  </si>
  <si>
    <t>https://www.scopus.com/inward/record.uri?eid=2-s2.0-77955443532&amp;doi=10.1007%2f978-3-642-14192-8_18&amp;partnerID=40&amp;md5=d24081505d9b7fe09bb92d274f839388</t>
  </si>
  <si>
    <t>Ormandjieva O.; Hussain I.; Kosseim L.</t>
  </si>
  <si>
    <t>Ormandjieva, Olga (57203257339); Hussain, Ishrar (57197701534); Kosseim, Leila (23089125200)</t>
  </si>
  <si>
    <t>57203257339; 57197701534; 23089125200</t>
  </si>
  <si>
    <t>Toward a text classification system for the quality assessment of software requirements written in natural language</t>
  </si>
  <si>
    <t>Requirements Engineering (RE) is concerned with the gathering, analyzing, specifying and validating of user requirements that are documented mostly in natural language. The artifact produced by the RE process is the software requirements specification (SRS) document. The success of a software project largely depends on the quality of SRS documentation, which serves as an input to the design, coding and testing phases. This paper approaches the problem of the automatic quality assessment of textual requirements from an innovative point of view, namely the use of the Natural Language Processing (NLP) text classification technique. The paper proposes a quality model for the requirements text and a text classification system to automate the quality assessment process. A large study evaluating the discriminatory power of the quality characteristics and the feasibility of a tool for the automatic detection of ambiguities in requirements documentation is presented. The study also provides a benchmark for such an evaluation and an upper bound on what we can expect automatic requirements quality assessment tools to achieve. The reported research is part of a larger project on the applicability of NLP techniques to assess the quality of artifacts produced in RE. Copyright 2007 ACM.</t>
  </si>
  <si>
    <t>SOQUA'07: Fourth International Workshop on Software Quality Assurance - In conjunction with the 6th ESEC/FSE Joint Meeting</t>
  </si>
  <si>
    <t>10.1145/1295074.1295082</t>
  </si>
  <si>
    <t>https://www.scopus.com/inward/record.uri?eid=2-s2.0-41149126094&amp;doi=10.1145%2f1295074.1295082&amp;partnerID=40&amp;md5=dfb7c461f7628ec7707aad1bb1788dde</t>
  </si>
  <si>
    <t>Osama M.; Zaki-Ismail A.; Abdelrazek M.; Grundy J.; Ibrahim A.</t>
  </si>
  <si>
    <t>Osama, Mohamed (57220054046); Zaki-Ismail, Aya (57220061393); Abdelrazek, Mohamed (56080446200); Grundy, John (7102156137); Ibrahim, Amani (51461588300)</t>
  </si>
  <si>
    <t>57220054046; 57220061393; 56080446200; 7102156137; 51461588300</t>
  </si>
  <si>
    <t>A Comprehensive Requirement Capturing Model Enabling the Automated Formalisation of NL Requirements</t>
  </si>
  <si>
    <t>Formalising natural language (NL) requirements is essential to have formal specifications that enable formal checking and improve the quality of requirements. However, the existing formalisation techniques require engineers to (re)write the system requirements using a set of requirements templates with predefined and limited structure and semantics. The main drawback of using such templates, usually with a fixed format, is the inability to capture diverse requirements outside the scope of the template structure. To address this limitation, a comprehensive reference model is needed to enable capturing key requirement properties regardless of their format, order, or structure. NLP technique can then be used to convert unrestricted NL requirements into the reference model. Using a set of transformation rules, the reference model representing the requirements can be transformed into the target formal notation. In this paper, we introduce requirement capturing model (RCM) to represent NL requirements by adapting to their key properties and without imposing constraints on how the requirements are written. We also implemented a requirements formalisation approach that supports transforming RCM into temporal logic (TL). In addition, we developed an automated similarity checking approach to check the correctness of the constructed RCM structures against the source NL requirements. We carried out extensive evaluation of RCM by comparing it against 15 existing requirements representation approaches on a dataset of 162 requirement sentences. The results show that RCM supports a much wider range of requirements formats compared to any of the existing approaches. © 2022, The Author(s), under exclusive licence to Springer Nature Singapore Pte Ltd.</t>
  </si>
  <si>
    <t>SN Computer Science</t>
  </si>
  <si>
    <t>57</t>
  </si>
  <si>
    <t>10.1007/s42979-022-01449-7</t>
  </si>
  <si>
    <t>https://www.scopus.com/inward/record.uri?eid=2-s2.0-85142091705&amp;doi=10.1007%2fs42979-022-01449-7&amp;partnerID=40&amp;md5=a48e7d9232f8ee7ba3598b6f7e4900b2</t>
  </si>
  <si>
    <t>Enhancing NL Requirements Formalisation Using a Quality Checking Model</t>
  </si>
  <si>
    <t>The formalisation of natural language (NL) requirements is a challenging problem because NL is inherently vague and imprecise. Existing formalisation approaches only support requirements adhering to specific boilerplates or templates, and are affected by the requirements quality issues. Several quality models are developed to assess the quality of NL requirements. However, they do not focus on the quality issues affecting the formalisability of requirements. Such issues can greatly compromise the operation of complex systems and even lead to catastrophic consequences or loss of life (in case of critical systems). In this paper, we propose a requirements quality checking approach utilising natural language processing (NLP) analysis. The approach assesses the quality of the requirements against a quality model that we developed to enhance the formalisability of NL requirements. We evaluate the effectiveness of our approach by comparing the formalisation efficiency of a recent automatic formalisation technique before and after utilising our approach. The results show an increase of approximately 15% in the F-measure (from 83.8% to 98%).  © 2021 IEEE.</t>
  </si>
  <si>
    <t>10.1109/RE51729.2021.00064</t>
  </si>
  <si>
    <t>https://www.scopus.com/inward/record.uri?eid=2-s2.0-85123199170&amp;doi=10.1109%2fRE51729.2021.00064&amp;partnerID=40&amp;md5=fb7e14a8d605ba964f0167d995428138</t>
  </si>
  <si>
    <t>Oztekin G.C.; Menekse Dalveren G.G.</t>
  </si>
  <si>
    <t>Oztekin, Gonca Canan (58346315600); Menekse Dalveren, Gonca Gokce (57201658878)</t>
  </si>
  <si>
    <t>58346315600; 57201658878</t>
  </si>
  <si>
    <t>Structured SRS for e-Government Services With Boilerplate Design and Interface</t>
  </si>
  <si>
    <t>There are many projects being carried out to develop e-Government applications. In order to develop an efficient application, a proper requirements specification is strictly required. However, in the case of improper requirements specifications, errors are unavoidable for the developed applications. Therefore, it is necessary to use a model to determine the quality of software requirements. In the literature, several studies have been presented to propose a quality model for software requirements. Yet, there is no study on the development of a quality model for software requirements in Turkish language. Thus, the purpose of this study is to propose a quality assessment model of Software Requirements Specification (SRS) in Turkish language for e-Government applications. The proposed model aims at defining common texts and confirming that the sentences used in writing SRS are developed within an assured structure in order to minimize and standardize the errors originating from natural language. For this purpose, a model based on the Rupp's boilerplate is created that allows the analyst or requirements engineer to accurately enter the requirements statements. In this study, an interface (webpage) is also created so that the model may match requirements with common text templates, compute similarity values, and also may insert the requirements, regulatory documents, and user requirements into the template in a more convenient format. In order to evaluate the proposed model, the sentences in the 32 documents, including 843 requirements, were adapted to the model. Then, the usability of the model was validated by the requirement engineers serving in a Government service. According to the results, it is concluded that the proposed model is applicable, and is able to improve the quality of SRS in Turkish language for e-Government applications.  © 2013 IEEE.</t>
  </si>
  <si>
    <t>10.1109/ACCESS.2023.3287882</t>
  </si>
  <si>
    <t>https://www.scopus.com/inward/record.uri?eid=2-s2.0-85162902949&amp;doi=10.1109%2fACCESS.2023.3287882&amp;partnerID=40&amp;md5=d5b7cc3015b1f41bd344d58695145999</t>
  </si>
  <si>
    <t>Panichella S.; Ruiz M.</t>
  </si>
  <si>
    <t>Panichella, Sebastiano (35095375100); Ruiz, Marcela (57199803683)</t>
  </si>
  <si>
    <t>35095375100; 57199803683</t>
  </si>
  <si>
    <t>Requirements-collector: Automating requirements specification from elicitation sessions and user feedback</t>
  </si>
  <si>
    <t>In the context of digital transformation, speeding up the time-To-market of high-quality software products is a big challenge. Software quality correlates with the success of requirements engineering (RE) sessions and the ability to collect feedback from end-users in an efficient, dynamic way. Thus, software analysts are tasked to collect all relevant material of RE sessions and user feedback, usually specified on written notes, flip charts, pictures, and user reviews. Afterward comprehensible requirements need to be specified for software implementation and testing. These activities are mostly performed manually, which causes process delays, with a negative effect on software quality attributes such as reliability, usability, comprehensibility. This paper presents Requirements-Collector, a tool for automating the tasks of requirements specification and user feedback analysis. Our tool involves machine learning (ML) and deep learning (DL) computational mechanisms enabling the automated classification of requirements discussed in RE meetings (stored in the form of audio recordings) and textual feedback in the form of user reviews. We use such techniques as they demonstrated to be quite effective in text classification problems. We argue that Requirements-Collector has the potential to renovate the role of software analysts, which can experience a substantial reduction of manual tasks, more efficient communication, dedication to more analytical tasks, and assurance of software quality from conception phases. The results of this work have shown that our tool is able to classify RE specifications and user review feedback with reliable accuracy. © 2020 IEEE.</t>
  </si>
  <si>
    <t>2020-August</t>
  </si>
  <si>
    <t>9218156</t>
  </si>
  <si>
    <t>10.1109/RE48521.2020.00057</t>
  </si>
  <si>
    <t>https://www.scopus.com/inward/record.uri?eid=2-s2.0-85093979899&amp;doi=10.1109%2fRE48521.2020.00057&amp;partnerID=40&amp;md5=6a401ea9d2ca0d4f9097b91f269caf42</t>
  </si>
  <si>
    <t>Park S.; Kim H.; Ko Y.; Seo J.</t>
  </si>
  <si>
    <t>Park, S. (7501831768); Kim, H. (55210550200); Ko, Y. (8082612400); Seo, J. (7401783816)</t>
  </si>
  <si>
    <t>7501831768; 55210550200; 8082612400; 7401783816</t>
  </si>
  <si>
    <t>Implementation of an efficient requirements-analysis supporting system using similarity measure techniques</t>
  </si>
  <si>
    <t>As software becomes more complicated and larger, the software engineer's requirements-analysis becomes an important and uneasy activity. This paper proposes a requirements-analysis supporting system that supports informal requirements-analysis. The proposed system measures the similarity between requirement sentences to identify possible redundancies and inconsistencies, and extracts the possible ambiguous requirements. The similarity measurement method combines a sliding window model and a parser model. Using these methods, the proposed system supports to trace dependency between documents and improve quality of requirement sentences. Efficiency of the proposed system and a process for requirement specification analysis using the system are presented.</t>
  </si>
  <si>
    <t>42</t>
  </si>
  <si>
    <t>10.1016/S0950-5849(99)00102-0</t>
  </si>
  <si>
    <t>https://www.scopus.com/inward/record.uri?eid=2-s2.0-0034654992&amp;doi=10.1016%2fS0950-5849%2899%2900102-0&amp;partnerID=40&amp;md5=132171ac048ef2901389b84a92cbfb23</t>
  </si>
  <si>
    <t>Peña Veitía F.J.; Roldán L.; Vegetti M.</t>
  </si>
  <si>
    <t>Peña Veitía, Francisco J. (57226318578); Roldán, Luciana (15124100600); Vegetti, Marcela (23135763400)</t>
  </si>
  <si>
    <t>57226318578; 15124100600; 23135763400</t>
  </si>
  <si>
    <t>User Stories identification in software's issues records using natural language processing</t>
  </si>
  <si>
    <t>Nowadays most of software development companies have adopted agile development methodologies, which suggest capturing requirements through user stories. The use of these good practices improves the organization of work teams and the quality of the resulting software product. However, user stories are too often poorly written in practice and exhibit inherent quality defects. In addition, it is common to find the user stories of a software project immersed in large volumes of issues request logs from software quality tracking systems, which makes difficult to process them later. In order to solve these defects and to formulate high quality requirements, a current trend is the application of computational linguistic techniques to identify and then process user stories. In this work, we present two recurrent neural network models that were developed for the identification of user stories in issue records from software quality tracking systems for further processing. © 2020 IEEE</t>
  </si>
  <si>
    <t>2020 IEEE Congreso Bienal de Argentina, ARGENCON 2020 - 2020 IEEE Biennial Congress of Argentina, ARGENCON 2020</t>
  </si>
  <si>
    <t>9505355</t>
  </si>
  <si>
    <t>10.1109/ARGENCON49523.2020.9505355</t>
  </si>
  <si>
    <t>https://www.scopus.com/inward/record.uri?eid=2-s2.0-85114049671&amp;doi=10.1109%2fARGENCON49523.2020.9505355&amp;partnerID=40&amp;md5=7d12fb1e333ea783e6cbfe8a2ba04960</t>
  </si>
  <si>
    <t>Petcuşin F.; Stănescu L.; Bădică C.</t>
  </si>
  <si>
    <t>Petcuşin, Felix (57211981842); Stănescu, Liana (15926500500); Bădică, Costin (8900004600)</t>
  </si>
  <si>
    <t>57211981842; 15926500500; 8900004600</t>
  </si>
  <si>
    <t>An Experiment on Automated Requirements Mapping Using Deep Learning Methods</t>
  </si>
  <si>
    <t>Requirements engineering is one of critical activities in systems development for Automotive Industry. Its outcome is most often represented by a set of documents capturing requirements specifications in natural language. For quality assurance and maturity support of the final products, the requirements must be verified and validated at different testing levels. To achieve this, the requirements are manually labelled to indicate the corresponding testing level. The number of requirements can vary from few hundreds in smaller projects to several thousands in larger projects. Their manual labeling is time consuming and error-prone, thus sometimes incurring an unacceptable high cost. In this paper we report our initial results on the automated classification of requirements in two classes: “Integration Test” and “Software Test” using Machine Learning approaches. Our solution could help the requirements engineers by speeding up the classification of requirements and thus reducing the time to market of final products. © Springer Nature Switzerland AG 2020.</t>
  </si>
  <si>
    <t>Studies in Computational Intelligence</t>
  </si>
  <si>
    <t>868</t>
  </si>
  <si>
    <t>10.1007/978-3-030-32258-8_10</t>
  </si>
  <si>
    <t>https://www.scopus.com/inward/record.uri?eid=2-s2.0-85075546970&amp;doi=10.1007%2f978-3-030-32258-8_10&amp;partnerID=40&amp;md5=b9e1295af9f90e688796e48a953c2f46</t>
  </si>
  <si>
    <t>Pičuljan N.; Car Ž.</t>
  </si>
  <si>
    <t>Pičuljan, Neven (57927969500); Car, Željka (16174303500)</t>
  </si>
  <si>
    <t>57927969500; 16174303500</t>
  </si>
  <si>
    <t>Machine Learning-Based Label Quality Assurance for Object Detection Projects in Requirements Engineering</t>
  </si>
  <si>
    <t>Featured Application: Our machine learning-based label quality assurance demo showcases the potential of our approach to improve object detection projects within the data requirement stage of requirements engineering. The accompanying API enables easy integration with existing platforms. This approach reduces the resources needed for label quality assurance. In recent years, the field of artificial intelligence has experienced significant growth, which has been primarily attributed to advancements in hardware and the efficient training of deep neural networks on graphics processing units. The development of high-quality artificial intelligence solutions necessitates a strong emphasis on data-centric approaches that involve the collection, labeling and quality-assurance of data and labels. These processes, however, are labor-intensive and often demand extensive human effort. Simultaneously, there exists an abundance of untapped data that could potentially be utilized to train models capable of addressing complex problems. These raw data, nevertheless, require refinement to become suitable for machine learning training. This study concentrates on the computer vision subdomain within artificial intelligence and explores data requirements within the context of requirements engineering. Among the various data requirement activities, label quality assurance is crucial. To address this problem, we propose a machine learning-based method for automatic label quality assurance, especially in the context of object detection use cases. Our approach aims to support both annotators and computer vision project stakeholders while reducing the time and resources needed to conduct label quality assurance activities. In our experiments, we trained a neural network on a small set of labeled data and achieved an accuracy of 82% in differentiating good and bad labels on a large set of labeled data. This demonstrates the potential of our approach in automating label quality assurance. © 2023 by the authors.</t>
  </si>
  <si>
    <t>Applied Sciences (Switzerland)</t>
  </si>
  <si>
    <t>13</t>
  </si>
  <si>
    <t>6234</t>
  </si>
  <si>
    <t>10.3390/app13106234</t>
  </si>
  <si>
    <t>https://www.scopus.com/inward/record.uri?eid=2-s2.0-85160310750&amp;doi=10.3390%2fapp13106234&amp;partnerID=40&amp;md5=ae9d776515116cfff5a0feb6607ce3cd</t>
  </si>
  <si>
    <t>Pinquié, R.; Véron, P.; Segonds, F.; Croué, N.</t>
  </si>
  <si>
    <t>Pinquié, Romain; Véron, Philippe; Segonds, Frédéric; Croué, Nicolas</t>
  </si>
  <si>
    <t>A requirement mining framework to support complex sub-systems suppliers</t>
  </si>
  <si>
    <t>[Context &amp; motivation] Requirements for automotive software systems are predominately documented in natural language and often serve as a basis for the following development process. Therefore, requirements artifact quality is important. Requirements often contain references to specific states of a system, which we call modes (e.g., “While the system is running,...”). [Problem] However, these references are often implicit and therefore, we suspect them as possible source for misunderstandings and ambiguities. [Principal idea] In this paper, we explore the relation between quality defects of natural language requirements and the description of modes within them. For this purpose, we investigate review findings of industrial requirements specifications and assess howmany findings contain issues addressing a mode and which defect types are most affected by mode-related findings. [Contribution] Our preliminary results showthat 46% of all considered review findings contain issues addressing a mode. Defect types in which modes played a major role were completeness and unambiguity. Based on these results, we argue that explicitly specifying modes prior to requirements formulation may increase the artifact quality of natural language requirements specifications. © Springer International Publishing Switzerland 2016.</t>
  </si>
  <si>
    <t>Procedia CIRP</t>
  </si>
  <si>
    <t>10.1016/j.procir.2018.03.228</t>
  </si>
  <si>
    <t>https://www.sciencedirect.com/science/article/pii/S2212827118303883</t>
  </si>
  <si>
    <t>ScienceDirect</t>
  </si>
  <si>
    <t>Portugal R.L.Q.; Li T.; Silva L.; Almentero E.; Do Prado Leite J.C.S.</t>
  </si>
  <si>
    <t>Portugal, Roxana L.Q. (56712515100); Li, Tong (56226319700); Silva, Lyrene (23478588200); Almentero, Eduardo (55522524200); Do Prado Leite, Julio Cesar S. (15765910400)</t>
  </si>
  <si>
    <t>56712515100; 56226319700; 23478588200; 55522524200; 15765910400</t>
  </si>
  <si>
    <t>NFRFinder: A knowledge based strategy for mining non-functional requirements</t>
  </si>
  <si>
    <t>A challenge in requirements elicitation is to identify quality requirements, i.e. non-functional requirements (hereafter, NFR). In general, stakeholders need NFRs, but these requirements are not always explicit, they can be part of the tacit knowledge. The usual strategy adopted by requirements engineers to elicit NFRs is to act proactively by asking stakeholders their interests in qualities based on lists or catalogs. NFRFinder is a semi-automated process strategy for mining keywords. The strategy uses the keywords to find possible NFRs in unstructured texts, e.g. the meeting minutes that occur during an elicitation task. The strategy relies on catalogs, according to the NFR Framework, as a supporting knowledge base. However, to gain more confidence on the NFRFinder, we have applied it to a set of structured texts. We report on the recall and precision of NFRFinder using a gold standard built from different actors, for requirements sentences. The results are promising, and we point out towards the evolution of NFRFinder. © 2018 Association for Computing Machinery.</t>
  </si>
  <si>
    <t>10.1145/3266237.3266269</t>
  </si>
  <si>
    <t>https://www.scopus.com/inward/record.uri?eid=2-s2.0-85055777664&amp;doi=10.1145%2f3266237.3266269&amp;partnerID=40&amp;md5=a277d4d79f9b7cd3d620c2a870c95c04</t>
  </si>
  <si>
    <t>Qi Z.; Wang T.; Yue T.</t>
  </si>
  <si>
    <t>Qi, Zewen (57321936800); Wang, Tiexin (56349180800); Yue, Tao (25651096400)</t>
  </si>
  <si>
    <t>57321936800; 56349180800; 25651096400</t>
  </si>
  <si>
    <t>Towards Efficient Use Case Modeling with Automated Domain Classification and Term Recommendation</t>
  </si>
  <si>
    <t>In requirements engineering, it takes significant time to specify requirements of various formats. Quality of specified requirements has direct impact on subsequent activities of software development, such as analysis and design. Motivated by this, in the paper, we aim to reduce effort required for specifying use case models and meanwhile improve their quality (in terms of consistency and correctness, for instance). Specifically, we investigate how to automatically classify a domain and recommend domain terminologies with natural language processing and information retrieval techniques, in the context of applying Restricted Use Case Modeling (RUCM) for developing use case models in natural language. To evaluate our approach (named RUCMBot), we evaluate it with seven subject systems. Results indicate that RUCMBot can help RUCM users by recommending domain terms with the accuracy being 0.6 in terms of F-score, on average. Moreover, RUCMBot is able to 100% correctly classify domains. RUCMBot also demonstrates its capability of constructing the domain terminology dictionary, and subsequently enhancing its recommendation accuracy along with the continuous use of RUCM for use case modeling.  © 2021 IEEE.</t>
  </si>
  <si>
    <t>10.1109/REW53955.2021.00011</t>
  </si>
  <si>
    <t>https://www.scopus.com/inward/record.uri?eid=2-s2.0-85118450376&amp;doi=10.1109%2fREW53955.2021.00011&amp;partnerID=40&amp;md5=0481375930a46be89895f42f4ce8e605</t>
  </si>
  <si>
    <t>Rago A.; Marcos C.; Diaz-Pace J.A.</t>
  </si>
  <si>
    <t>Rago, Alejandro (55672655600); Marcos, Claudia (15124839500); Diaz-Pace, J. Andres (14017872900)</t>
  </si>
  <si>
    <t>55672655600; 15124839500; 14017872900</t>
  </si>
  <si>
    <t>Identifying duplicate functionality in textual use cases by aligning semantic actions</t>
  </si>
  <si>
    <t>Developing high-quality requirements specifications often demands a thoughtful analysis and an adequate level of expertise from analysts. Although requirements modeling techniques provide mechanisms for abstraction and clarity, fostering the reuse of shared functionality (e.g., via UML relationships for use cases), they are seldom employed in practice. A particular quality problem of textual requirements, such as use cases, is that of having duplicate pieces of functionality scattered across the specifications. Duplicate functionality can sometimes improve readability for end users, but hinders development-related tasks such as effort estimation, feature prioritization, and maintenance, among others. Unfortunately, inspecting textual requirements by hand in order to deal with redundant functionality can be an arduous, time-consuming, and error-prone activity for analysts. In this context, we introduce a novel approach called ReqAligner that aids analysts to spot signs of duplication in use cases in an automated fashion. To do so, ReqAligner combines several text processing techniques, such as a use case-aware classifier and a customized algorithm for sequence alignment. Essentially, the classifier converts the use cases into an abstract representation that consists of sequences of semantic actions, and then these sequences are compared pairwise in order to identify action matches, which become possible duplications. We have applied our technique to five real-world specifications, achieving promising results and identifying many sources of duplication in the use cases. © 2014, Springer-Verlag Berlin Heidelberg.</t>
  </si>
  <si>
    <t>Software and Systems Modeling</t>
  </si>
  <si>
    <t>15</t>
  </si>
  <si>
    <t>10.1007/s10270-014-0431-3</t>
  </si>
  <si>
    <t>https://www.scopus.com/inward/record.uri?eid=2-s2.0-85027940424&amp;doi=10.1007%2fs10270-014-0431-3&amp;partnerID=40&amp;md5=7f9542868212503db04994a97e9ccb9c</t>
  </si>
  <si>
    <t>Rajkovic, K.; Enoiu, E.</t>
  </si>
  <si>
    <t>Rajkovic, Kostadin; Enoiu, Eduard</t>
  </si>
  <si>
    <t>NALABS: Detecting Bad Smells in Natural Language Requirements and Test Specifications</t>
  </si>
  <si>
    <t>In large-scale embedded system development, requirement and test specifications are often expressed in natural language. In the context of developing such products, requirement review is performed in many cases manually using these specifications as a basis for quality assurance. Low-quality specifications can have expensive consequences during the requirement engineering process. Especially, if feedback loops during requirement engineering are long, leading to artifacts that are not easily maintainable, are hard to understand, and are inefficient to port to other system variants. We use the idea of smells to specifications expressed in natural language, defining a set of specifications for bad smells. We developed a tool called NALABS (NAtural LAnguage Bad Smells), available on this https URL and used for automatically checking specifications. We discuss some of the decisions made for its implementation, and future work.</t>
  </si>
  <si>
    <t>10.48550/arXiv.2202.05641</t>
  </si>
  <si>
    <t>https://arxiv.org/abs/2202.05641v2</t>
  </si>
  <si>
    <t>Ramesh M.R.R.; Reddy C.S.</t>
  </si>
  <si>
    <t>Ramesh, M.R. Raja (58919891100); Reddy, Ch. Satyananda (36806533900)</t>
  </si>
  <si>
    <t>58919891100; 36806533900</t>
  </si>
  <si>
    <t>Metrics for software requirements specification quality quantification</t>
  </si>
  <si>
    <t>The initial and crucial phase of the automation and software development is identifying requirements and documenting them in an appropriate format that denotes software requirement specification (SRS). The quality and productivity at different phases of the software development depend on requirements specification. The quality of the end product of software development is proportionate to the quality of SRS. Hence, estimating the quality of the SRS is essential. Though the numerous metrics have been defined in contemporary research, the IEEE standard metrics are considered authentic to scale SRS quality. This manuscript endeavored to redefine the IEEE standard metrics’ measuring approaches to improvise SRS quality assessment. The experimental study exhibiting the significance and robustness of the proposed approach that compared to the contemporary contributions of the recent literature © 2021</t>
  </si>
  <si>
    <t>Computers and Electrical Engineering</t>
  </si>
  <si>
    <t>107445</t>
  </si>
  <si>
    <t>10.1016/j.compeleceng.2021.107445</t>
  </si>
  <si>
    <t>https://www.scopus.com/inward/record.uri?eid=2-s2.0-85118184425&amp;doi=10.1016%2fj.compeleceng.2021.107445&amp;partnerID=40&amp;md5=006b712ba4d13f5c950ca53adc1621b5</t>
  </si>
  <si>
    <t>Rasheed, Z.; Waseem, M.; Kemell, K.-K.; Xiaofeng, W.; Duc, A. N.; Systä, K., Abrahamsson, P.</t>
  </si>
  <si>
    <t>Rasheed, Zeeshan; Waseem, Muhammad; Kemell, Kai-Kristian; Xiaofeng, Wang; Duc, Anh Nguyen; Systä, Kari; Abrahamsson, Pekka</t>
  </si>
  <si>
    <t>Autonomous Agents in Software Development: A Vision Paper</t>
  </si>
  <si>
    <t>Large Language Models (LLM) and Generative Pre-trained Transformers (GPT), are reshaping the field of Software Engineering (SE). They enable innovative methods for executing many software engineering tasks, including automated code generation, debugging, maintenance, etc. However, only a limited number of existing works have thoroughly explored the potential of GPT agents in SE. This vision paper inquires about the role of GPT-based agents in SE. Our vision is to leverage the capabilities of multiple GPT agents to contribute to SE tasks and to propose an initial road map for future work. We argue that multiple GPT agents can perform creative and demanding tasks far beyond coding and debugging. GPT agents can also do project planning, requirements engineering, and software design. These can be done through high-level descriptions given by the human developer. We have shown in our initial experimental analysis for simple software (e.g., Snake Game, Tic-Tac-Toe, Notepad) that multiple GPT agents can produce high-quality code and document it carefully. We argue that it shows a promise of unforeseen efficiency and will dramatically reduce lead-times. To this end, we intend to expand our efforts to understand how we can scale these autonomous capabilities further.</t>
  </si>
  <si>
    <t>10.48550/arXiv.2311.18440</t>
  </si>
  <si>
    <t>https://arxiv.org/abs/2311.18440v1</t>
  </si>
  <si>
    <t>Reytérou C.</t>
  </si>
  <si>
    <t>Reytérou, Claude (36089196700)</t>
  </si>
  <si>
    <t>36089196700</t>
  </si>
  <si>
    <t>Requirements quality in the incremental design processes: Problems and perspectives.</t>
  </si>
  <si>
    <t>Writing requirements is a critical step in designing aircrafts software-intensive systems. The latest requirement management and authoring tools, using current engineering based approaches, start to efficiently support the requirements quality and consistency checks for huge projects having long changes cycles. However, these solutions become limited facing the incremental design processes where frequent changes of requirements shall be handled. In this paper we will discuss on dedicated approaches to support requirement writing and checking based on boilerplates and semantic knowledge representations, in particular ontologies. The expected contributions are firstly to improve the quality of requirement writing and secondly to advance the current knowledge in the use of semantic technologies dedicated to quality management. We present the corresponding research issues, the relevance of these approaches and the main lines of the proposed research activities as well as the originality of the selected options.</t>
  </si>
  <si>
    <t>https://www.scopus.com/inward/record.uri?eid=2-s2.0-84964636372&amp;partnerID=40&amp;md5=3140f6c67719cd582acd1ba596b290bc</t>
  </si>
  <si>
    <t>Riaz M.Q.; Butt W.H.; Rehman S.</t>
  </si>
  <si>
    <t>Riaz, Muhammad Qasim (56423319300); Butt, Wasi Haider (26665905200); Rehman, Saad (57216103090)</t>
  </si>
  <si>
    <t>56423319300; 26665905200; 57216103090</t>
  </si>
  <si>
    <t>Automatic Detection of Ambiguous Software Requirements: An Insight</t>
  </si>
  <si>
    <t>Requirements Engineering is one of the most important phases of the software development lifecycle. The success of the whole software project depends upon the quality of the requirements. But as we know that mostly the software requirements are stated and documented in the natural language. The requirements written in natural language can be ambiguous and inconsistent. These ambiguities and inconsistencies can lead to misinterpretations and wrong implementations in design and development phase. To address these issues a number of approaches, tools and techniques have been proposed for the automatic detection of natural language ambiguities form software requirement documents. However, to the best of our knowledge, there is very little work done to compare and analyze the differences between these tools and techniques. In this paper, we presented a state of art survey of the currently available tools and techniques for the automatic detection of natural language ambiguities from software requirements. We also focused on figuring out the popularity of different tools and techniques on the basis of citations. This research mathbfwill help the practitioners and researchers to get the latest insights in the above-mentioned context. © 2019 IEEE.</t>
  </si>
  <si>
    <t>5th International Conference on Information Management, ICIM 2019</t>
  </si>
  <si>
    <t>8714682</t>
  </si>
  <si>
    <t>10.1109/INFOMAN.2019.8714682</t>
  </si>
  <si>
    <t>https://www.scopus.com/inward/record.uri?eid=2-s2.0-85066619573&amp;doi=10.1109%2fINFOMAN.2019.8714682&amp;partnerID=40&amp;md5=b26538f59612dabf382994daeb733245</t>
  </si>
  <si>
    <t>Rojas A.B.; Sliesarieva G.B.</t>
  </si>
  <si>
    <t>Rojas, Allan Berrocal (57427385900); Sliesarieva, Gabriela Barrantes (57426836100)</t>
  </si>
  <si>
    <t>57427385900; 57426836100</t>
  </si>
  <si>
    <t>Automated Detection of Language Issues Affecting Accuracy, Ambiguity and Verifiability in Software Requirements Written in Natural Language</t>
  </si>
  <si>
    <t>Most embedded systems for the avionics industry are considered safety critical systems; as a result, strict software development standards exist to ensure critical software is built with the highest quality possible. One of such standards, DO-178B, establishes a number of properties that software requirements must satisfy including: accuracy, non-ambiguity and verifiability. From a language perspective, it is possible to automate the analysis of software requirements to determine whether or not they satisfy some quality properties. This work suggests a bounded definition for three properties (accuracy, non-ambiguity and verifiability) considering the main characteristics that software requirements must exhibit to satisfy those objectives. A software prototype that combines natural language processing (NLP) techniques and specialized dictionaries was built to examine software requirements written in English with the goal of identifying whether or not they satisfy the desired properties. Preliminary results are presented showing how the tool effectively identifies critical issues that are normally ignored by human reviewers. © 2010 Association for Computational Linguistics</t>
  </si>
  <si>
    <t>Young Investigators Workshop on Computational Approaches to Languages of the Americas, Proceedings</t>
  </si>
  <si>
    <t>https://www.scopus.com/inward/record.uri?eid=2-s2.0-84965103654&amp;partnerID=40&amp;md5=9ba83be933711280c3c3c346b5fe4f54</t>
  </si>
  <si>
    <t>Ronanki K.; Berger C.; Horkoff J.</t>
  </si>
  <si>
    <t>Ronanki, Krishna (58483395600); Berger, Christian (16067915300); Horkoff, Jennifer (9042245700)</t>
  </si>
  <si>
    <t>58483395600; 16067915300; 9042245700</t>
  </si>
  <si>
    <t>Investigating ChatGPT's Potential to Assist in Requirements Elicitation Processes</t>
  </si>
  <si>
    <t>Natural Language Processing (NLP) for Requirements Engineering (RE) (NLP4RE) seeks to apply NLP tools, techniques, and resources to the RE process to increase the quality of the requirements. There is little research involving the utilization of Generative AI-based NLP tools and techniques for requirements elicitation. In recent times, Large Language Models (LLM) like ChatGPT have gained significant recognition due to their notably improved performance in NLP tasks. To explore the potential of ChatGPT to assist in requirements elicitation processes, we formulated six questions to elicit requirements using ChatGPT. Using the same six questions, we conducted interview-based surveys with five RE experts from academia and industry and collected 30 responses containing requirements. The quality of these 36 responses (human-formulated + ChatGPT-generated) was evaluated over seven different requirements quality attributes by another five RE experts through a second round of interview-based surveys. In comparing the quality of requirements generated by ChatGPT with those formulated by human experts, we found that ChatGPT-generated requirements are highly Abstract, Atomic, Consistent, Correct, and Understandable. Based on these results, we present the most pressing issues related to LLMs and what future research should focus on to leverage the emergent behaviour of LLMs more effectively in natural language-based RE activities.  © 2023 IEEE.</t>
  </si>
  <si>
    <t>Proceedings - 2023 49th Euromicro Conference on Software Engineering and Advanced Applications, SEAA 2023</t>
  </si>
  <si>
    <t>10.1109/SEAA60479.2023.00061</t>
  </si>
  <si>
    <t>https://www.scopus.com/inward/record.uri?eid=2-s2.0-85175597991&amp;doi=10.1109%2fSEAA60479.2023.00061&amp;partnerID=40&amp;md5=6ef7b6e358ae85e7a90276b32000b82e</t>
  </si>
  <si>
    <t>Ronanki K.; Cabrero-Daniel B.; Berger C.</t>
  </si>
  <si>
    <t>Ronanki, Krishna (58483395600); Cabrero-Daniel, Beatriz (57219337738); Berger, Christian (16067915300)</t>
  </si>
  <si>
    <t>58483395600; 57219337738; 16067915300</t>
  </si>
  <si>
    <t>ChatGPT as a Tool for User Story Quality Evaluation: Trustworthy Out of the Box?</t>
  </si>
  <si>
    <t>In Agile software development, user stories play a vital role in capturing and conveying end-user needs, prioritizing features, and facilitating communication and collaboration within development teams. However, automated methods for evaluating user stories require training in NLP tools and can be time-consuming to develop and integrate. This study explores using ChatGPT for user story quality evaluation and compares its performance with an existing benchmark. Our study shows that ChatGPT’s evaluation aligns well with human evaluation, and we propose a “best of three” strategy to improve its output stability. We also discuss the concept of trustworthiness in AI and its implications for non-experts using ChatGPT’s unprocessed outputs. Our research contributes to understanding the reliability and applicability of Generative AI in user story evaluation and offers recommendations for future research. © 2024, The Author(s).</t>
  </si>
  <si>
    <t>10.1007/978-3-031-48550-3_17</t>
  </si>
  <si>
    <t>https://www.scopus.com/inward/record.uri?eid=2-s2.0-85181984259&amp;doi=10.1007%2f978-3-031-48550-3_17&amp;partnerID=40&amp;md5=625695241fbeaa175d610f19a1d49386</t>
  </si>
  <si>
    <t>Ronanki, K.; Berger, C.; Horkoff, J.</t>
  </si>
  <si>
    <t>Ronanki, Krishna; Berger, Christian; Horkoff, Jennifer</t>
  </si>
  <si>
    <t>Natural Language Processing (NLP) for Requirements Engineering (RE) (NLP4RE) seeks to apply NLP tools, techniques, and resources to the RE process to increase the quality of the requirements. There is little research involving the utilization of Generative AI-based NLP tools and techniques for requirements elicitation. In recent times, Large Language Models (LLM) like ChatGPT have gained significant recognition due to their notably improved performance in NLP tasks. To explore the potential of ChatGPT to assist in requirements elicitation processes, we formulated six questions to elicit requirements using ChatGPT. Using the same six questions, we conducted interview-based surveys with five RE experts from academia and industry and collected 30 responses containing requirements. The quality of these 36 responses (human-formulated + ChatGPT-generated) was evaluated over seven different requirements quality attributes by another five RE experts through a second round of interview-based surveys. In comparing the quality of requirements generated by ChatGPT with those formulated by human experts, we found that ChatGPT-generated requirements are highly Abstract, Atomic, Consistent, Correct, and Understandable. Based on these results, we present the most pressing issues related to LLMs and what future research should focus on to leverage the emergent behaviour of LLMs more effectively in natural language-based RE activities.</t>
  </si>
  <si>
    <t>10.48550/arXiv.2307.07381</t>
  </si>
  <si>
    <t>https://arxiv.org/abs/2307.07381v1</t>
  </si>
  <si>
    <t>Ronanki, K.; Cabrero-Daniel, B.; Berger, C.</t>
  </si>
  <si>
    <t>Ronanki, Krishna; Cabrero-Daniel, Beatriz; Berger, Christian</t>
  </si>
  <si>
    <t>ChatGPT as a tool for User Story Quality Evaluation: Trustworthy Out of the Box?</t>
  </si>
  <si>
    <t>In Agile software development, user stories play a vital role in capturing and conveying end-user needs, prioritizing features, and facilitating communication and collaboration within development teams. However, automated methods for evaluating user stories require training in NLP tools and can be time-consuming to develop and integrate. This study explores using ChatGPT for user story quality evaluation and compares its performance with an existing benchmark. Our study shows that ChatGPT's evaluation aligns well with human evaluation, and we propose a ``best of three'' strategy to improve its output stability. We also discuss the concept of trustworthiness in AI and its implications for non-experts using ChatGPT's unprocessed outputs. Our research contributes to understanding the reliability and applicability of AI in user story evaluation and offers recommendations for future research.</t>
  </si>
  <si>
    <t>10.48550/arXiv.2306.12132</t>
  </si>
  <si>
    <t>https://arxiv.org/abs/2306.12132v1</t>
  </si>
  <si>
    <t>Rosadini B.; Ferrari A.; Gori G.; Fantechi A.; Gnesi S.; Trotta I.; Bacherini S.</t>
  </si>
  <si>
    <t>Rosadini, Benedetta (57193431967); Ferrari, Alessio (55765001561); Gori, Gloria (57193433896); Fantechi, Alessandro (6701442229); Gnesi, Stefania (6603718373); Trotta, Iacopo (7801465544); Bacherini, Stefano (14826478800)</t>
  </si>
  <si>
    <t>57193431967; 55765001561; 57193433896; 6701442229; 6603718373; 7801465544; 14826478800</t>
  </si>
  <si>
    <t>Using NLP to detect requirements defects: An industrial experience in the railway domain</t>
  </si>
  <si>
    <t>Context and motivation: In the railway safety-critical domain requirements documents have to abide to strict quality criteria. Rule-based natural language processing (NLP) techniques have been developed to automatically identify quality defects in natural language requirements. However, the literature is lacking empirical studies on the application of these techniques in industrial settings. Question/problem: Our goal is to investigate to which extent NLP can be practically applied to detect defects in the requirements documents of a railway signalling manufacturer. Principal idea/results: To address this goal, we first identified a set of typical defects classes, and, for each class, an engineer of the company implemented a set of defect-detection patterns by means of the GATE tool for text processing. After a preliminary analysis, we applied the patterns to a large set of 1866 requirements previously annotated for defects. The output of the patterns was further inspected by two domain experts to check the false positive cases. Contribution: This is one of the first works in which defect detection NLP techniques are applied on a very large set of industrial requirements annotated by domain experts. We contribute with a comparison between traditional manual techniques used in industry for requirements analysis, and analysis performed with NLP. Our experience tells that several discrepancies can be observed between the two approaches. The analysis of the discrepancies offers hints to improve the capabilities of NLP techniques with company specific solutions, and suggests that also company practices need to be modified to effectively exploit NLP tools. © Springer International Publishing AG 2017.</t>
  </si>
  <si>
    <t>10.1007/978-3-319-54045-0_24</t>
  </si>
  <si>
    <t>https://www.scopus.com/inward/record.uri?eid=2-s2.0-85013922541&amp;doi=10.1007%2f978-3-319-54045-0_24&amp;partnerID=40&amp;md5=2d83f83b7081602869ca796e96477bf0</t>
  </si>
  <si>
    <t>Rossanez A.; Carvalho A.M.B.R.</t>
  </si>
  <si>
    <t>Rossanez, Anderson (57193343861); Carvalho, Ariadne M.B.R. (12445473500)</t>
  </si>
  <si>
    <t>57193343861; 12445473500</t>
  </si>
  <si>
    <t>Semi-automatic checklist quality assessment of natural language requirements for space applications</t>
  </si>
  <si>
    <t>Problems with the specification of software requirements documents are a common cause of software defects. In the space applications domain, such defects are very costly, especially when detected after deployment in the field. It is imperative to ensure that software requirements are well written to avoid the introduction of these defects. The quality of software requirements is frequently assessed via checklists, based on standards for space application software, and on problems found in previous projects. Given the importance of quality assessment, and the fact that it is manually performed by domain experts, we propose to develop a semi-automatic, natural language processing tool, to diminish the reviewer's effort in the assessment, and to reduce errors in this process. © 2016 IEEE.</t>
  </si>
  <si>
    <t>Proceedings - 7th Latin-American Symposium on Dependable Computing, LADC 2016</t>
  </si>
  <si>
    <t>7781844</t>
  </si>
  <si>
    <t>10.1109/LADC.2016.26</t>
  </si>
  <si>
    <t>https://www.scopus.com/inward/record.uri?eid=2-s2.0-85013218951&amp;doi=10.1109%2fLADC.2016.26&amp;partnerID=40&amp;md5=3a36da26c3fc5ce4a90981fc7e184712</t>
  </si>
  <si>
    <t>Roumili E.; Bossu J.-F.; Chapurlat V.; Daclin N.; Plana R.; Tixier J.</t>
  </si>
  <si>
    <t>Roumili, Emir (57361441900); Bossu, Jean-François (57361484500); Chapurlat, Vincent (6602298730); Daclin, Nicolas (21833263900); Plana, Robert (57219504400); Tixier, Jérôme (12767789700)</t>
  </si>
  <si>
    <t>57361441900; 57361484500; 6602298730; 21833263900; 57219504400; 12767789700</t>
  </si>
  <si>
    <t>Collaborative Safety Requirements Engineering: An Approach for Modelling and Assessment of Nuclear Safety Requirements in MBSE Context</t>
  </si>
  <si>
    <t>The nuclear safety demonstration aims to demonstrate that a Nuclear Facility respects all the requirements specified in standards from safety authorities, which is a key objective for the licensing of a nuclear installation. It requires, firstly, supporting the necessary collaborative work involving various stakeholders. Secondly, it should be able to use a common and shared requirements repository. However, it is still the so-called “classic” working methods that are put forward. Almost all the documents are in written form. Due to the complexity of the Nuclear Facility of interest, it is proposed to move from this document-oriented system engineering to a model-based system engineering approach which would improve the performance, delay, and qualities of the engineering processes. Models would allow a better cognition and sharing without ambiguities of information by the engineering teams. Subject of this paper is a hybrid MBSE/AI approach facilitating collaborative work on nuclear safety demonstration processes. © 2021, IFIP International Federation for Information Processing.</t>
  </si>
  <si>
    <t>IFIP Advances in Information and Communication Technology</t>
  </si>
  <si>
    <t>629 IFIPAICT</t>
  </si>
  <si>
    <t>10.1007/978-3-030-85969-5_20</t>
  </si>
  <si>
    <t>https://www.scopus.com/inward/record.uri?eid=2-s2.0-85120529643&amp;doi=10.1007%2f978-3-030-85969-5_20&amp;partnerID=40&amp;md5=7447b8faa901481848b7d5d27a176610</t>
  </si>
  <si>
    <t>Sabetzadeh, M.; Arora, C.</t>
  </si>
  <si>
    <t>Sabetzadeh, Mehrdad; Arora, Chetan</t>
  </si>
  <si>
    <t>Practical Guidelines for the Selection and Evaluation of NLP Techniques in RE</t>
  </si>
  <si>
    <t>Natural Language Processing (NLP) is now a cornerstone of requirements automation. One compelling factor behind the growing adoption of NLP in Requirements Engineering (RE) is the prevalent use of natural language (NL) for specifying requirements in industry. NLP techniques are commonly used for automatically classifying requirements, extracting important information, e.g., domain models and glossary terms, and performing quality assurance tasks, such as ambiguity handling and completeness checking. With so many different NLP solution strategies available and the possibility of applying machine learning alongside, it can be challenging to choose the right strategy for a specific RE task and to evaluate the resulting solution in an empirically rigorous manner. This book chapter presents guidelines for the selection of NLP techniques as well as for their evaluation in the context of RE. In particular, we discuss how to choose among different strategies such as traditional NLP, feature-based machine learning, and language-model-based methods. Our ultimate hope for this chapter is to serve as a stepping stone, assisting newcomers to NLP4RE in quickly initiating themselves into the NLP technologies most pertinent to the RE field.</t>
  </si>
  <si>
    <t xml:space="preserve">
10.48550/arXiv.2401.01508</t>
  </si>
  <si>
    <t>https://arxiv.org/abs/2401.01508v1</t>
  </si>
  <si>
    <t>Sannier N.; Adedjouma M.; Sabetzadeh M.; Briand L.; Dann J.; Hisette M.; Thill P.</t>
  </si>
  <si>
    <t>Sannier, Nicolas (54279354400); Adedjouma, Morayo (43461169500); Sabetzadeh, Mehrdad (9133712900); Briand, Lionel (7006613079); Dann, John (57196375987); Hisette, Marc (57196374107); Thill, Pascal (57196375408)</t>
  </si>
  <si>
    <t>54279354400; 43461169500; 9133712900; 7006613079; 57196375987; 57196374107; 57196375408</t>
  </si>
  <si>
    <t>Legal Markup Generation in the Large: An Experience Report</t>
  </si>
  <si>
    <t>Legal markup (metadata) is an important prerequisite for the elaboration of legal requirements. Manually encoding legal texts into a markup representation is laborious, specially for large legal corpora amassed over decades and centuries. At the same time, automating the generation of markup in a fully accurate manner presents a challenge due to the flexibility of the natural-language content in legal texts and variations in how these texts are organized. Following an action research method, we successfully collaborated with the Government of Luxembourg in transitioning five major legislative codes from plain-text to a legal markup format. Our work focused on generating markup for the structural elements of the underlying codes. The technical basis for our work is an adaptation and enhancement of an academic markup generation tool developed in our prior research [1]. We reflect on the experience gained from applying automated markup generation at large scales. In particular, we elaborate the decisions we made in order to strike a cost-effective balance between automation and manual work for legal markup generation. We evaluate the quality of automatically-generated structural markup in real-world conditions and subject to the practical considerations of our collaborating partner. © 2017 IEEE.</t>
  </si>
  <si>
    <t>8049136</t>
  </si>
  <si>
    <t>10.1109/RE.2017.10</t>
  </si>
  <si>
    <t>https://www.scopus.com/inward/record.uri?eid=2-s2.0-85032832412&amp;doi=10.1109%2fRE.2017.10&amp;partnerID=40&amp;md5=7bf8ace19bceb3a546222ac27496cd74</t>
  </si>
  <si>
    <t>Sarmiento-Calisaya E.; do Prado Leite J.C.S.</t>
  </si>
  <si>
    <t>Sarmiento-Calisaya, Edgar (55538476000); do Prado Leite, Julio Cesar Sampaio (15765910400)</t>
  </si>
  <si>
    <t>55538476000; 15765910400</t>
  </si>
  <si>
    <t>Early analysis of requirements using NLP and Petri-nets</t>
  </si>
  <si>
    <t>Scenario-based approaches are widely used for software requirements specification. Since scenarios are usually written using natural language, specifications may have statements that are ambiguous, unnecessarily complicated, missing, duplicated, or conflicting. Requirements quality is challenging since it is hard to achieve consistency in requirements products. Unfortunately, if done manually, analysis of textual scenarios can be an arduous, time-consuming, and error-prone activity. This work rethinks the unambiguity, completeness, consistency, and correctness properties of scenario-based specifications; and how static and dynamic analysis strategies could automatically evaluate them. To do so, we introduce an automated requirements analysis approach to check both structural and behavioral aspects of scenarios, which combines natural language processing, Petri-nets, and visualization techniques for: (i) identifying certain types of defects and their indicators; (ii) highlighting scenario statements or relationships among scenarios that can lead to defects; and (iii) foreseeing scenario execution paths that can lead to inconsistencies. We show the feasibility of the proposed approach through the analysis of four projects specified as scenario-based descriptions. Overall, our approach produced reasonable results, with precision greater than 89% and recall greater than 98%. Our work allows researchers, as well as practitioners, to improve the quality of scenarios through an automated analysis approach. © 2023 Elsevier Inc.</t>
  </si>
  <si>
    <t>Journal of Systems and Software</t>
  </si>
  <si>
    <t>208</t>
  </si>
  <si>
    <t>111901</t>
  </si>
  <si>
    <t>10.1016/j.jss.2023.111901</t>
  </si>
  <si>
    <t>https://www.scopus.com/inward/record.uri?eid=2-s2.0-85178226765&amp;doi=10.1016%2fj.jss.2023.111901&amp;partnerID=40&amp;md5=0e5b8d539723ed6b8fbc67b6e3a80251</t>
  </si>
  <si>
    <t>Sarmiento-Calisaya, E.; Leite, J.</t>
  </si>
  <si>
    <t>Sarmiento-Calisaya, Edgar; Leite, Julio</t>
  </si>
  <si>
    <t>Early Analysis of Requirements Using Nlp and Petri-Nets</t>
  </si>
  <si>
    <t>10.2139/ssrn.4429005</t>
  </si>
  <si>
    <t>http://dx.doi.org/10.2139/ssrn.4429005</t>
  </si>
  <si>
    <t>Sateli B.; Angius E.; Witte R.</t>
  </si>
  <si>
    <t>Sateli, Bahar (39062011400); Angius, Elian (55556867700); Witte, Rene (23010981400)</t>
  </si>
  <si>
    <t>39062011400; 55556867700; 23010981400</t>
  </si>
  <si>
    <t>The ReqWiki approach for collaborative software requirements engineering with integrated text analysis support</t>
  </si>
  <si>
    <t>The requirements engineering phase within a software project is a heavily knowledge-driven, collaborative process that typically involves the analysis and creation of a large number of textual artifacts. We know that requirements engineering has a large impact on the success of a project, yet sophisticated tool support, especially for small to mid-size enterprises, is still lacking. We present Reqwiki, a novel open source web-based approach based on a semantic wiki that includes natural language processing (NLP) assistants, which work collaboratively with humans on the requirements specification documents. We evaluated Reqwiki with a number of software engineers to investigate the impact of our novel semantic support on software requirements engineering. Our user studies prove that (i) software engineers unfamiliar with NLP can easily leverage these assistants and (ii) semantic assistants can help to significantly improve the quality of requirements specifications. © 2013 IEEE.</t>
  </si>
  <si>
    <t>Proceedings - International Computer Software and Applications Conference</t>
  </si>
  <si>
    <t>6649855</t>
  </si>
  <si>
    <t>10.1109/COMPSAC.2013.68</t>
  </si>
  <si>
    <t>https://www.scopus.com/inward/record.uri?eid=2-s2.0-84891293305&amp;doi=10.1109%2fCOMPSAC.2013.68&amp;partnerID=40&amp;md5=b526a09953c8927d9a7e46516a7f1f03</t>
  </si>
  <si>
    <t>Sateli B.; Rajivelu S.S.; Angius E.; Witte R.</t>
  </si>
  <si>
    <t>Sateli, Bahar (39062011400); Rajivelu, Srinivasan Sembakkam (55693843000); Angius, Elian (55556867700); Witte, René (23010981400)</t>
  </si>
  <si>
    <t>39062011400; 55693843000; 55556867700; 23010981400</t>
  </si>
  <si>
    <t>ReqWiki: A semantic system for collaborative software requirements engineering</t>
  </si>
  <si>
    <t>The requirements engineering phase within a software project is a heavily knowledge-driven, collaborative process that typically involves the analysis and creation of a large number of textual artifacts. We know that requirements engineering has a large impact on the success of a project, yet sophisticated tool support, especially for small to mid-size enterprises, is still lacking. We present ReqWiki, a novel open source web-based approach based on a semantic wiki that includes Natural Language Processing (NLP) assistants, which work collaboratively with humans on the requirements specification documents. © 2012 Authors.</t>
  </si>
  <si>
    <t>WikiSym 2012 Conference Proceedings - 8th Annual International Symposium on Wikis and Open Collaboration</t>
  </si>
  <si>
    <t>10.1145/2462932.2462966</t>
  </si>
  <si>
    <t>https://www.scopus.com/inward/record.uri?eid=2-s2.0-84877628098&amp;doi=10.1145%2f2462932.2462966&amp;partnerID=40&amp;md5=1c836eb545d9bf0cf5ee617cf38a216a</t>
  </si>
  <si>
    <t>Sedrakyan G.; Abdi A.; Van Den Berg S.M.; Veldkamp B.; Hillegersberg J.V.</t>
  </si>
  <si>
    <t>Sedrakyan, Gayane (55320792200); Abdi, Asad (56545316700); Van Den Berg, Stéphanie M. (56251395300); Veldkamp, Bernard (6602896542); Hillegersberg, Jos Van (56418438100)</t>
  </si>
  <si>
    <t>55320792200; 56545316700; 56251395300; 6602896542; 56418438100</t>
  </si>
  <si>
    <t>Text-To-Model (TeToMo) Transformation Framework to Support Requirements Analysis and Modeling</t>
  </si>
  <si>
    <t>Requirements analysis and modeling is a challenging task involving complex knowledge of the domain to be engineered, modeling notation, modelling knowledge, etc. When constructing architectural artefacts experts rely largely on the tacit knowledge that they have built based on previous experiences. Such implicit knowledge is difficult to teach to novices, and the cost of the gap between classroom knowledge and real business situations is thus reflected in further needs for post-graduate extensive trainings for novice and junior analysts. This research aims to explore the state-of-the art natural language processing techniques that can be adopted in the domain of requirements engineering to assist novices in their task of knowledge construction when learning requirements analysis and modeling. The outcome includes a method called Text-To-Model (TeToMo) that combines the state-of-the-art natural language processing approaches and techniques for identifying potential architecture element candidates out of textual descriptions (business requirements). A subsequent prototype is implemented that can assist a knowledge construction process through (semi-) automatic generation and validation of Unified Modeling Lnaguage (UML) models. In addition, to the best of our knowledge, a method that integrates machine learning based method has not been thoroughly studied for solving requirements analysis and modeling problem. The results of this study suggest that integrating machine learning methods, word embedding, heuristic rules, statistical and linguistic knowledge can result in increased number of automated detection of model constructs and thus also better semantic quality of outcome models. © 2022 by SCITEPRESS–Science and Technology Publications, Lda. All rights reserved.</t>
  </si>
  <si>
    <t>International Conference on Model-Driven Engineering and Software Development</t>
  </si>
  <si>
    <t>10.5220/0010771600003119</t>
  </si>
  <si>
    <t>https://www.scopus.com/inward/record.uri?eid=2-s2.0-85151384281&amp;doi=10.5220%2f0010771600003119&amp;partnerID=40&amp;md5=cca7b6fcc2639c7af1cfe73ce06d72bd</t>
  </si>
  <si>
    <t>Sengupta S.; Ramnani R.R.; Das S.; Chandran A.</t>
  </si>
  <si>
    <t>Sengupta, Shubhashis (15127774600); Ramnani, Roshni R. (55252820800); Das, Subhabrata (57209810663); Chandran, Anitha (57076068500)</t>
  </si>
  <si>
    <t>15127774600; 55252820800; 57209810663; 57076068500</t>
  </si>
  <si>
    <t>Verb-based semantic modelling and analysis of textual requirements</t>
  </si>
  <si>
    <t>Automated machine analysis of natural language requirements poses several challenges. Complex requirements such as functional requirements and use cases are hard to parse and analyze, the language itself is un-constrained, the flow of requirements may be haphazard, and one requirement may contradict another - to name a few challenges. In this paper, we present a lightweight semantic modeling technique through natural language processing to filter requirements and create a semi-formal semantic network of requirement sentences. We employ novel techniques of classification of verbs used in requirements, semantic role labeling, discourse identification, and a few verb entailment and dependency relationships to generate a lightweight semantic network and critique the requirements. We discuss the design of the model and some early results obtained from analyzing real-life industrial requirements. Copyright 2015 ACM.</t>
  </si>
  <si>
    <t>18-20-February-2015</t>
  </si>
  <si>
    <t>10.1145/2723742.2723745</t>
  </si>
  <si>
    <t>https://www.scopus.com/inward/record.uri?eid=2-s2.0-84955462675&amp;doi=10.1145%2f2723742.2723745&amp;partnerID=40&amp;md5=d8fe0918caf270cba69445aa0463bf72</t>
  </si>
  <si>
    <t>Šenkýř D.; Suchánek M.; Kroha P.; Mannaert H.; Pergl R.</t>
  </si>
  <si>
    <t>Šenkýř, David (57208469676); Suchánek, Marek (57212242445); Kroha, Petr (6603504598); Mannaert, Herwig (14632484000); Pergl, Robert (26633154200)</t>
  </si>
  <si>
    <t>57208469676; 57212242445; 6603504598; 14632484000; 26633154200</t>
  </si>
  <si>
    <t>Expanding Normalized Systems from textual domain descriptions using TEMOS</t>
  </si>
  <si>
    <t>Functional requirements on a software system are traditionally captured as text that describes the expected functionality in the domain of a real-world system. Natural language processing methods allow us to extract the knowledge from such requirements and transform it, e.g., into a model. Moreover, these methods can improve the quality of the requirements, which usually suffer from ambiguity, incompleteness, and inconsistency. This paper presents a novel approach to using natural language processing. We use the method of grammatical inspection to find specific patterns in the description of functional requirement specifications (written in English). Then, we transform the requirements into a model of Normalized Systems elements. This may realize a possible component of the eagerly awaited text-to-software pipeline. The input of this method is represented by textual requirements. Its output is a running prototype of an information system created using Normalized Systems (NS) techniques. Therefore, the system is ready to accept further enhancements, e.g., custom code fragments, in an evolvable manner ensured by compliance with the NS principles. A demonstration of pipeline implementation is also included in this paper. The text processing part of our pipeline extends the existing pipeline implemented in our system TEMOS, where we propose and implement methods of checking the quality of textual requirements concerning ambiguity, incompleteness, and inconsistency. © 2022, The Author(s), under exclusive licence to Springer Science+Business Media, LLC, part of Springer Nature.</t>
  </si>
  <si>
    <t>Journal of Intelligent Information Systems</t>
  </si>
  <si>
    <t>59</t>
  </si>
  <si>
    <t>10.1007/s10844-022-00706-8</t>
  </si>
  <si>
    <t>https://www.scopus.com/inward/record.uri?eid=2-s2.0-85129743891&amp;doi=10.1007%2fs10844-022-00706-8&amp;partnerID=40&amp;md5=202e40374ecf1c10124d0e98037ccf75</t>
  </si>
  <si>
    <t>Shah U.; Patel S.; Jinwala D.</t>
  </si>
  <si>
    <t>Shah, Unnati (57000019000); Patel, Sankita (36601234100); Jinwala, Devesh (25961011000)</t>
  </si>
  <si>
    <t>57000019000; 36601234100; 25961011000</t>
  </si>
  <si>
    <t>A Semi-automated Approach to Generate an Adaptive Quality Attribute Relationship Matrix</t>
  </si>
  <si>
    <t>[Context and Motivation] A critical success factor in Requirements Engineering (RE) involves recognizing conflicts in Quality Requirements (QRs). Nowadays, Quality Attributes Relationship Matrix (QARM) is utilized to identify the conflicts in QRs. The static QARM represents how one Quality Attribute (QA) undermines or supports to achieve other QAs. [Question/Problem] However, emerging technology discovers new QAs. Requirements analysts need to invest significant time and non-trivial human effort to acquire knowledge for the newly discovered QAs and influence among them. This process involves searching and analyzing a large set of quality documents from literature and industries. In addition, the use of static QARMs, without knowing the purpose of the QRs in the system may lead to false conflict identification. Rather than taking all QAs, domain-specific QAs are of great concern for the system being developed. [Principal ideas/results] In this paper, we propose an approach which is aimed to build an adaptive QARM semi-automatically. We empirically evaluate the approach and report an analysis of the generated QARM. We achieve 85.67% recall, 59.07% precision and 69.14% F-measure to acquire knowledge for QAs. [Contributions] We provide an algorithm to acquire knowledge for domain-specific QAs and construct an adaptive QARM from available unconstrained natural language documents and web search engines. © 2020, Springer Nature Switzerland AG.</t>
  </si>
  <si>
    <t>10.1007/978-3-030-44429-7_17</t>
  </si>
  <si>
    <t>https://www.scopus.com/inward/record.uri?eid=2-s2.0-85083959594&amp;doi=10.1007%2f978-3-030-44429-7_17&amp;partnerID=40&amp;md5=d76743258685c4eacb511d5860ef643e</t>
  </si>
  <si>
    <t>Shah U.; Patel S.; Jinwala D.C.</t>
  </si>
  <si>
    <t>Shah, Unnati (57000019000); Patel, Sankita (36601234100); Jinwala, Devesh C. (25961011000)</t>
  </si>
  <si>
    <t>Detecting Intra-Conflicts in Non-Functional Requirements</t>
  </si>
  <si>
    <t>When specifying user requirements, not only is it critical to ensure correct and unambiguous specification of functional requirements, but also that of Non-Functional Requirements (NFRs). A critical success factor in Requirements Engineering (RE) involves recognizing conflicts among NFRs specified by multiple stakeholders having differing concerns, priorities, and responsibilities. There indeed are numerous attempts made in the literature to resolve the conflicts between two NFRs, with the traditional view of considering the two NFRs different from each other e.g. security conflicting with the availability. In this paper, however, we propose that to introduce fine-grained conflict resolution-by also focusing on those situations where one NFR conflicts with another NFR of the same type. For ease of understanding, we propose to differentiate such conflicts by coining the term intra-conflicts. Thus, we propose fine-grained conflict resolution-by focusing on the notion of resolving conflicts between two NFRs of the same type. Needless to say, non-detection of any conflict between two NFRs-whether the NFRs are of the same type or not-at an early stage of RE, leads to higher costs for changes. The process of conflict resolution is essentially intuitive and hence is iterative. Our proposal hence is motivated by a view that differentiating the inter-conflicts with intra-conflicts, helps one in better focusing on the conflict resolution. We also propose an approach that allows a requirements analyst to semi-automatically identify intra-conflicts among NFRs at an early stage of RE using natural language processing, machine learning, and ontology-based semantic analysis. The controlled experiments, conducted on five publicly available datasets, achieve an average recall, precision, and F-measure of 0.57, 0.77, and 0.65 respectively. © 2021 World Scientific Publishing Company.</t>
  </si>
  <si>
    <t>International Journal of Uncertainty, Fuzziness and Knowldege-Based Systems</t>
  </si>
  <si>
    <t>29</t>
  </si>
  <si>
    <t>10.1142/S0218488521500197</t>
  </si>
  <si>
    <t>https://www.scopus.com/inward/record.uri?eid=2-s2.0-85107007592&amp;doi=10.1142%2fS0218488521500197&amp;partnerID=40&amp;md5=fda0017bcb728f3bad739d87b921b62a</t>
  </si>
  <si>
    <t>Shehadeh K.; Arman N.; Khamayseh F.</t>
  </si>
  <si>
    <t>Shehadeh, Karmel (57668574700); Arman, Nabil (6507967324); Khamayseh, Faisal (56676439800)</t>
  </si>
  <si>
    <t>57668574700; 6507967324; 56676439800</t>
  </si>
  <si>
    <t>Semi-Automated Classification of Arabic User Requirements into Functional and Non-Functional Requirements using NLP Tools</t>
  </si>
  <si>
    <t>Functional and non-functional requirements are equally important in software engineering. Both of them are mixed together within the same software requirement document. Usually, they are expressed in natural languages. So, a lot of human effort is required to classify them. Software requirements classification is a challenging task. Requirements classification can help developers to deliver quality software that meets users' expectations completely. In this paper, we present a Semi-Automated classification approach of Arabic functional and non-functional requirements using a natural language processing (NLP) tool. We propose a set of heuristics based on basic constructs of Arabic sentences in order to extract information from Arabic software requirements to classify the requirements into functional and non-functional requirements. This research aims to help software engineers by reducing the cost and time required in performing manual classification of software requirements. © 2021 IEEE.</t>
  </si>
  <si>
    <t>2021 International Conference on Information Technology, ICIT 2021 - Proceedings</t>
  </si>
  <si>
    <t>9491698</t>
  </si>
  <si>
    <t>10.1109/ICIT52682.2021.9491698</t>
  </si>
  <si>
    <t>https://www.scopus.com/inward/record.uri?eid=2-s2.0-85112175948&amp;doi=10.1109%2fICIT52682.2021.9491698&amp;partnerID=40&amp;md5=31d88d9449f4ce0b8f5973d05086b331</t>
  </si>
  <si>
    <t>Shen Y.; Breaux T.</t>
  </si>
  <si>
    <t>Shen, Yuchen (57971525000); Breaux, Travis (9134075300)</t>
  </si>
  <si>
    <t>57971525000; 9134075300</t>
  </si>
  <si>
    <t>Domain Model Extraction from User-authored Scenarios and Word Embeddings</t>
  </si>
  <si>
    <t>Domain models are used by requirements analysts to rationalize domain phenomena into discrete entities that drive requirements elicitation and analysis. Domain models include entities, actors or agents, their actions, and desired qualities assigned to states in the domain. Domain models are acquired through a wide range of sources, including interviews with subject matter experts, and by analyzing text-based scenarios, regulations and policies. Requirements automation to assist with elicitation or text analysis can be supported using masked language models (MLM), which have been used to learn contextual information from natural language sentences and transfer this learning to natural language processing (NLP) tasks. The MLM can be used to predict the most likely missing word in a sentence, and thus be used to explore domain concepts encoded in a word embedding. In this paper, we explore an approach of extracting domain knowledge from user-authored scenarios using typed dependency parsing techniques. We also explore the efficacy of a complementary approach of using a BERT-based MLM to identify entities and associated qualities to build a domain model from a single-word seed term. © 2022 IEEE.</t>
  </si>
  <si>
    <t>10.1109/REW56159.2022.00036</t>
  </si>
  <si>
    <t>https://www.scopus.com/inward/record.uri?eid=2-s2.0-85142257573&amp;doi=10.1109%2fREW56159.2022.00036&amp;partnerID=40&amp;md5=1f8e5afda2f1417dc0b0e57e179fda6c</t>
  </si>
  <si>
    <t>Silva G.R.S.; Canedo E.D.</t>
  </si>
  <si>
    <t>Silva, Geovana Ramos Sousa (57218917228); Canedo, Edna Dias (55366708900)</t>
  </si>
  <si>
    <t>57218917228; 55366708900</t>
  </si>
  <si>
    <t>Unveiling Quality in Chatbot Conversations: Quantitative Analysis of Chatbot Requirements</t>
  </si>
  <si>
    <t>As conversational assistants and natural language interfaces proliferate, the demand for a precise understanding of quality software requirements for chatbots becomes increasingly critical. In this work, we adopted a quantitative methodology, scrutinizing a dataset composed of conversational requirements from a diverse range of agile projects for chatbot development, and identified meaningful patterns in the language and structure utilized. Our investigation led to significant findings, revealing the importance of structured documentation, conversation flow, and user interaction in the development of chatbots, with the most desired quality attributes being capability, naturalness, straightforwardness, and clarity. In addition, a significant emphasis was placed on feature development and meeting acceptance criteria. The research also illuminated the iterative nature of chatbot development, with a recurrent presence of verbs related to improvement or refactoring. While less pronounced, the roles of documentation and testing in ensuring chatbot quality and effectiveness were also noted. This work provides valuable insights into chatbot requirements management and the significance of quality attributes in chatbot development.  © 2023 ACM.</t>
  </si>
  <si>
    <t>10.1145/3629479.3629481</t>
  </si>
  <si>
    <t>https://www.scopus.com/inward/record.uri?eid=2-s2.0-85180149699&amp;doi=10.1145%2f3629479.3629481&amp;partnerID=40&amp;md5=df091afc1487cd550ccbc9b2d1050d48</t>
  </si>
  <si>
    <t>Sinha A.; Sutton Jr. S.M.; Paradkar A.</t>
  </si>
  <si>
    <t>Sinha, Avik (12779493800); Sutton Jr., Stanley M. (7202739373); Paradkar, Amit (35615865300)</t>
  </si>
  <si>
    <t>12779493800; 7202739373; 35615865300</t>
  </si>
  <si>
    <t>Text2Test: Automated inspection of natural language use cases</t>
  </si>
  <si>
    <t>The modularity and customer centric approach of use cases make them the preferred methods for requirement elicitation, especially in iterative software development processes as in agile programming. Numerous guidelines exist for use case style and content, but enforcing compliance to such guidelines in the industry currently requires specialized training and a strongly managed requirement elicitation process. However, often due to aggressive development schedules, organizations shy away from such extensive processes and end up capturing use cases in an ad-hoc fashion with little guidance. This results in poor quality use cases that are seldom fit for any downstream software activities. We have developed an approach for automated and "edittime" inspection of use cases based on the construction and analysis of models of use cases. Our models contain linguistic properties of the use case text along with the functional properties of the system under discussion. In this paper, we present a suite of model analysis techniques that leverage such models to validate uses cases simultaneously for their style and content. Such model analysis techniques can be combined with a robust NLP techniques to develop integrated development environments for use case authoring, as we do in Text2Test. When used in an industrial setting, Text2Test resulted in better compliance of use cases, in enhanced productivity and, subsequently, in higher quality of test cases. © 2010 IEEE.</t>
  </si>
  <si>
    <t>ICST 2010 - 3rd International Conference on Software Testing, Verification and Validation</t>
  </si>
  <si>
    <t>5477089</t>
  </si>
  <si>
    <t>10.1109/ICST.2010.19</t>
  </si>
  <si>
    <t>https://www.scopus.com/inward/record.uri?eid=2-s2.0-77954503493&amp;doi=10.1109%2fICST.2010.19&amp;partnerID=40&amp;md5=410fce0a915b031e045ff3f4ddba1813</t>
  </si>
  <si>
    <t>Sofian H.; Yunus N.A.M.; Ahmad R.</t>
  </si>
  <si>
    <t>Sofian, Hazrina (56211266300); Yunus, Nur Arzilawati Md (57195992383); Ahmad, Rodina (24829264100)</t>
  </si>
  <si>
    <t>56211266300; 57195992383; 24829264100</t>
  </si>
  <si>
    <t>Systematic Mapping: Artificial Intelligence Techniques in Software Engineering</t>
  </si>
  <si>
    <t>Artificial Intelligence (AI) has become a core feature of today's real-world applications, making it a trending topic within the software engineering (SE) community. The rise in the availability of AI techniques encompasses the capability to make rapid, automated, impactful decisions and predictions, leading to the adoption of AI techniques in SE. With industry revolution 4.0, the role of software engineering has become critical for developing productive, efficient, and quality software. Thus, there is a major need for AI techniques to be applied to enhance and improve the critical activities within the software engineering phases. Software is developed through intelligent software engineering phases. This paper concerns a systematic mapping study that aimed to characterize the publication landscape of AI techniques in software engineering. Gaps are identified and discussed by mapping these AI techniques against the SE phases to which they contributed. Many systematic mapping review papers have been produced only for a specific AI technique or a specific SE phase or activity. Hence, to our best of knowledge within the last decade, there is no systematic mapping review that has fully explored the overall trends in AI techniques and their application to all SE phases. © 2013 IEEE.</t>
  </si>
  <si>
    <t>10.1109/ACCESS.2022.3174115</t>
  </si>
  <si>
    <t>https://www.scopus.com/inward/record.uri?eid=2-s2.0-85130778732&amp;doi=10.1109%2fACCESS.2022.3174115&amp;partnerID=40&amp;md5=e36e8ee7999d57a6b18554a0dc5d434f</t>
  </si>
  <si>
    <t>Stålhane T.; Wien T.</t>
  </si>
  <si>
    <t>Stålhane, Tor (8693760700); Wien, Tormod (36700818600)</t>
  </si>
  <si>
    <t>8693760700; 36700818600</t>
  </si>
  <si>
    <t>The DODT tool applied to sub-sea software</t>
  </si>
  <si>
    <t>Using natural language is still a common form of writing software requirements. Tools and techniques to improve the quality of natural language requirements may give better results than attempts to convince industry to use something else. We have combined natural language requirements with tool support using boilerplates and domain ontologies, enabling detection of ambiguities and incompleteness in requirements. This paper reports on a case study where requirement analysts used the developed tool to analyse requirements for a safety-critical control system. The experience showed that people were able to use the tool to develop a domain ontology and apply boilerplates to describe requirements in a structured way, yielding requirements readable for humans and analysable for the tool. The tool support improved the quality of requirements by reducing ambiguities and inconsistent use of terminology, removing redundant requirements, and improving partial and unclear requirements. © 2014 IEEE.</t>
  </si>
  <si>
    <t>6912293</t>
  </si>
  <si>
    <t>10.1109/RE.2014.6912293</t>
  </si>
  <si>
    <t>https://www.scopus.com/inward/record.uri?eid=2-s2.0-84909957452&amp;doi=10.1109%2fRE.2014.6912293&amp;partnerID=40&amp;md5=ad947a4fdc80958f60d25e1f7ea4d200</t>
  </si>
  <si>
    <t>Stanik C.; Pietz T.; Maalej W.</t>
  </si>
  <si>
    <t>Stanik, Christoph (57189293529); Pietz, Tim (57224214473); Maalej, Walid (25928659900)</t>
  </si>
  <si>
    <t>57189293529; 57224214473; 25928659900</t>
  </si>
  <si>
    <t>Unsupervised Topic Discovery in User Comments</t>
  </si>
  <si>
    <t>On social media platforms like Twitter, users regularly share their opinions and comments with software vendors and service providers. Popular software products might get thousands of user comments per day. Research has shown that such comments contain valuable information for stakeholders, such as feature ideas, problem reports, or support inquiries. However, it is hard to manually manage and grasp a large amount of user comments, which can be redundant and of a different quality. Consequently, researchers suggested automated approaches to extract valuable comments, e.g., through problem report classifiers. However, these approaches do not aggregate semantically similar comments into specific aspects to provide insights like how often users reported a certain problem.We introduce an approach for automatically discovering topics composed of semantically similar user comments based on deep bidirectional natural language processing algorithms. Stakeholders can use our approach without the need to configure critical parameters like the number of clusters. We present our approach and report on a rigorous multiple-step empirical evaluation to assess how cohesive and meaningful the resulting clusters are. Each evaluation step was peer-coded and resulted in inter-coder agreements of up to 98%, giving us high confidence in the approach. We also report a thematic analysis on the topics discovered from tweets in the telecommunication domain.  © 2021 IEEE.</t>
  </si>
  <si>
    <t>10.1109/RE51729.2021.00021</t>
  </si>
  <si>
    <t>https://www.scopus.com/inward/record.uri?eid=2-s2.0-85113694723&amp;doi=10.1109%2fRE51729.2021.00021&amp;partnerID=40&amp;md5=cd76aac13abfb32f379d8f546147b0d4</t>
  </si>
  <si>
    <t>Stanik, C.; Pietz, T.; Maalej, W.</t>
  </si>
  <si>
    <t>Stanik, Christoph; Pietz, Tim; Maalej, Walid</t>
  </si>
  <si>
    <t>10.48550/arXiv.2108.08543</t>
  </si>
  <si>
    <t>https://arxiv.org/abs/2108.08543v1</t>
  </si>
  <si>
    <t>Subha R.; Palaniswami S.</t>
  </si>
  <si>
    <t>Subha, R. (55557360000); Palaniswami, S. (27568039900)</t>
  </si>
  <si>
    <t>55557360000; 27568039900</t>
  </si>
  <si>
    <t>Quality factor assessment and text summarization of unambiguous natural language requirements</t>
  </si>
  <si>
    <t>The software requirements are documented in natural language to make it easy for the users to understand the document. This flexibility of natural language comes with the risk of introducing unwanted ambiguities in the requirements thus leading to poor quality. In this paper, we propose and evaluate a framework that automatically analyses the ambiguities in a requirements document, summarizes the document and assess its quality. We analyse the ambiguities that can occur in natural language and present a method to automate ambiguity analysis and consistency and completeness verification that are usually carried out by human reviewers which is time consuming and ineffective. The Open Text Summarizer based system summarizes the document and provides an extract of it. We use a decision tree based quality evaluator that identifies the quality indicators in the requirements document and evaluates it. © 2013 Springer-Verlag Berlin Heidelberg.</t>
  </si>
  <si>
    <t>361 CCIS</t>
  </si>
  <si>
    <t>10.1007/978-3-642-36321-4_12</t>
  </si>
  <si>
    <t>https://www.scopus.com/inward/record.uri?eid=2-s2.0-84872424182&amp;doi=10.1007%2f978-3-642-36321-4_12&amp;partnerID=40&amp;md5=ba239203f73d16486b15048ad8e2aea9</t>
  </si>
  <si>
    <t>Syu Y.; Tsao Y.-J.; Wang C.-M.</t>
  </si>
  <si>
    <t>Syu, Yang (36617976100); Tsao, Yu-Jen (57484122500); Wang, Chien-Min (8687380500)</t>
  </si>
  <si>
    <t>36617976100; 57484122500; 8687380500</t>
  </si>
  <si>
    <t>Rule-Based Extraction of Tuple-Based Service Demand from Natural Language-Based Software Requirement for Automated Service Composition</t>
  </si>
  <si>
    <t>In recent years, automated service composition (ASC) has become popular and prevalent in software engineering and services computing. Nevertheless, although there are many existing research works on ASC, a number of problems and issues in this research area remain to be addressed. Based on our observations, one of the major problems and insufficiencies of current ASC approaches is that many of them accept and consider only tuple-based service requirements, whereas it is unrealistic to assume that all users of an ASC approach can express their service demands in this manner. To most service and software stakeholders, the most natural and best way to describe their requirements is to express them in natural language. Due to this difference in formations, most existing ASC approaches are useless or difficult to use for ordinary users. In this paper, we attempt to bridge this gap between the conventional descriptions of user requirements and the acceptable inputs of current ASC approaches by proposing and implementing a new approach. This approach uses natural language processing (NLP) technologies to obtain the required information from natural language-based requirement descriptions to generate tuple-based service demands for ASC approaches. Based on the part-of-speech and dependency information parsed and provided by an adopted NLP processor, we define a set of rules and preprocessing methods to extract the intended service requirement elements. Finally, with a real-world software description dataset, the developed system is fully tested and demonstrates accurate extraction performance. © 2022, Springer Nature Switzerland AG.</t>
  </si>
  <si>
    <t>12995 LNCS</t>
  </si>
  <si>
    <t>10.1007/978-3-030-96566-2_1</t>
  </si>
  <si>
    <t>https://www.scopus.com/inward/record.uri?eid=2-s2.0-85126105251&amp;doi=10.1007%2f978-3-030-96566-2_1&amp;partnerID=40&amp;md5=8b21f5ae894aa853baab9f147de686c3</t>
  </si>
  <si>
    <t>Tamai T.; Anzai T.</t>
  </si>
  <si>
    <t>Tamai, Tetsuo (7102292181); Anzai, Taichi (57211430823)</t>
  </si>
  <si>
    <t>7102292181; 57211430823</t>
  </si>
  <si>
    <t>Quality requirements analysis with machine learning</t>
  </si>
  <si>
    <t>The importance of software quality requirements (QR) is being widely recognized, which motivates studies that investigate software requirements specifications (SRS) in practice and collect data on how much QR are written vs. functional requirements (FR) and what kind of QR are specified. It is useful to develop a tool that automates the process of filtering out QR statements from an SRS and classifying them into the quality characteristic attributes such as defined in the ISO/IEC 25000 quality model. We propose an approach that uses a machine learning technique to mechanize the process. With this mechanism, we can identify how each QR characteristic scatters over the document, i.e. how much in volume and in what way. A tool QRMiner is developed to support the process and case studies were conducted, taking thirteen SRS documents that were written for real use. We report our findings from these cases. Copyright © 2018 by SCITEPRESS – Science and Technology Publications, Lda. All rights reserved.</t>
  </si>
  <si>
    <t>ENASE 2018 - Proceedings of the 13th International Conference on Evaluation of Novel Approaches to Software Engineering</t>
  </si>
  <si>
    <t>2018-March</t>
  </si>
  <si>
    <t>10.5220/0006694502410248</t>
  </si>
  <si>
    <t>https://www.scopus.com/inward/record.uri?eid=2-s2.0-85062802050&amp;doi=10.5220%2f0006694502410248&amp;partnerID=40&amp;md5=1bfa2632ba7016709900d6851a1d1aca</t>
  </si>
  <si>
    <t>Tizard J.</t>
  </si>
  <si>
    <t>Tizard, James (57212504216)</t>
  </si>
  <si>
    <t>57212504216</t>
  </si>
  <si>
    <t>Requirement mining in software product forums</t>
  </si>
  <si>
    <t>The majority of software projects fail, around 71% according to recent research. A shortage of user feedback and missed requirements are cited as primary reasons for failure. There are several prominent online platforms where software users post product feedback, including: app stores, Twitter, issue trackers and product forums. I have identified the study of product forums as a gap in the current requirement mining literature, and have selected them as the focus of this research. Product forums are widely used in the software industry, supporting online discussions between a products users and owners. While their primary function is to help customers use the product, forums are also a rich source of untapped user generated requirements. However, the manual effort to extract these requirements is prohibitively time consuming due to their large volume and inconsistent quality. Analysis tools to assist in requirement mining have been applied successfully to online platforms previously, but as of yet, not in the forum domain, where current techniques may be insufficient. My preliminary research has found that forums contain feedback useful for software maintenance and evolution, including several categories of feedback not identified in the current literature. I have developed forum specific classifiers to help categorise the different feedback in forum posts. I demonstrate that these classifiers significantly outperform a leading app store tool when applied to forums. In this report I present my preliminary findings, then outline my research plan with the final goal of producing an industry evaluated, forum analysis tool. © 2019 IEEE.</t>
  </si>
  <si>
    <t>2019-September</t>
  </si>
  <si>
    <t>8920680</t>
  </si>
  <si>
    <t>10.1109/RE.2019.00057</t>
  </si>
  <si>
    <t>https://www.scopus.com/inward/record.uri?eid=2-s2.0-85076916028&amp;doi=10.1109%2fRE.2019.00057&amp;partnerID=40&amp;md5=2e6172dbf5c89d39925ca4bce1622533</t>
  </si>
  <si>
    <t>Tjong S.F.; Hallam N.; Hartley M.</t>
  </si>
  <si>
    <t>Tjong, Sri Fatimah (55095701300); Hallam, Nasreddine (7004099284); Hartley, Michael (7101985849)</t>
  </si>
  <si>
    <t>55095701300; 7004099284; 7101985849</t>
  </si>
  <si>
    <t>Improving the quality of natural language requirements specifications through natural language requirements patterns</t>
  </si>
  <si>
    <t>This paper presents an approach for reducing the problem of ambiguity and imprecision in natural language requirements specifications with the use of language quality patterns and guiding rules. To ensure the applicability of our approach, we study different sets of requirements documents from several domains. We further validate our approach by rewriting the requirements statements derived from these requirements documents. © 2006 IEEE.</t>
  </si>
  <si>
    <t>Proceedings - Sixth IEEE International Conference on Computer and Information Technology, CIT 2006</t>
  </si>
  <si>
    <t>4019974</t>
  </si>
  <si>
    <t>10.1109/CIT.2006.103</t>
  </si>
  <si>
    <t>https://www.scopus.com/inward/record.uri?eid=2-s2.0-34547275923&amp;doi=10.1109%2fCIT.2006.103&amp;partnerID=40&amp;md5=50377d619136c50db3cea65e7d28fadd</t>
  </si>
  <si>
    <t>Torres R.; Astudillo H.</t>
  </si>
  <si>
    <t>Torres, Romina (55932718600); Astudillo, Hernan (6603646692)</t>
  </si>
  <si>
    <t>55932718600; 6603646692</t>
  </si>
  <si>
    <t>Market-aware requirements</t>
  </si>
  <si>
    <t>Traditionally, non-functional requirements (NFRs) are specified as measurable entities to permit evaluation satisfaction; however, NFR specifications quickly become obsolete because (1) NFRs are expressed in numbers, (2) architects specify them using the correct values at design time, and/or (3) providers are constantly improving their offer, in terms of functionality and quality of service (QoS). The computing-with-words approach has already been proposed to replace numerical NFR specifications, where natural language words denote fuzzy quality levels; unfortunately, current proposals provide only for design-time, stakeholder-defined translation of words as numerical ranges. We propose a mechanism to automatically and dynamically determine current numerical ranges of the fuzzy quality levels from the available data, without human intervention, whenever changes to component QoS specifications. Our main contribution is allowing architects to specify their requirements using words only once (at design time), and whenever providers change components QoS characteristics, automatically update those requirements to the new market view, enabling market-aware requirements. The approach was validated by measuring the number of times that necessarily a requirement had to be rewritten at runtime in order to get new operationalizations which replace the now older ones. We use a set of ten complex requirements, a dataset of 1500 actual Web services with precise measurements for nine QoS aspects, and a simulated offering variability. A Web-based prototype is also made available.</t>
  </si>
  <si>
    <t>WER 2012 - 15th Workshop on Requirements Engineering</t>
  </si>
  <si>
    <t>https://www.scopus.com/inward/record.uri?eid=2-s2.0-84870514986&amp;partnerID=40&amp;md5=ae03d5d7cacf98c9c41bc0ae21600967</t>
  </si>
  <si>
    <t>Ul Hasan S.A.; Ali Rana Z.</t>
  </si>
  <si>
    <t>Ul Hasan, Syed Absar (58135109200); Ali Rana, Zeeshan (58133698500)</t>
  </si>
  <si>
    <t>58135109200; 58133698500</t>
  </si>
  <si>
    <t>Determining the Level of Detail of Software Requirements</t>
  </si>
  <si>
    <t>Requirements Engineering is an important step in a software engineering projects. It starts with requirement gathering and documentation of user requirements. If a requirement is documented at the appropriate level of detail, it will not only help improve the quality of the requirements consequently increasing the chances of a successful project, but will also help in the reuse of the same requirements for similar types of projects and problems. This research proposes the use of Parts of Speech (POS) to determine the level of detail of software requirements. These POS based features are used for classification and each requirement is classified as either of the three i.e. Low-level (a statement contains enough information to implement the intended functionality), Intermediate-level (a statement contains multiple tasks and further details will be required in order to implement the particular requirement), High-level (a statement contains many intended functions with incomplete details). These POS frequencies are extracted from natural language text of requirements and are given as input to three classifiers namely Logistic Regression, Multinomial Naïve Bayes (MNB), and Support Vector Machines (SVM). The paper evaluates the performance of each classifier with POSF based features and the traditional Term Frequency Inverse Document Frequency (TFIDF) based features. A 6.8% increase in accuracy for MNB has been observed when POSF based features are used. These results are based on the publicly available requirements that have an inconsistent level of detail. Availability of requirements with consistent level of detail can further improve the results. We used Structural Depth Metric to measure the consistency in level of detail.  © 2022 IEEE.</t>
  </si>
  <si>
    <t>Proceedings - 2022 International Conference on Frontiers of Information Technology, FIT 2022</t>
  </si>
  <si>
    <t>10.1109/FIT57066.2022.00013</t>
  </si>
  <si>
    <t>https://www.scopus.com/inward/record.uri?eid=2-s2.0-85149644787&amp;doi=10.1109%2fFIT57066.2022.00013&amp;partnerID=40&amp;md5=b0d9ab30a87e3d7e9bcca70d72659476</t>
  </si>
  <si>
    <t>Unterkalmsteiner M.; Gorschek T.</t>
  </si>
  <si>
    <t>Unterkalmsteiner, Michael (36245433300); Gorschek, Tony (6507952308)</t>
  </si>
  <si>
    <t>36245433300; 6507952308</t>
  </si>
  <si>
    <t>Requirements quality assurance in industry: Why, what and how?</t>
  </si>
  <si>
    <t>Context and Motivation: Natural language is the most common form to specify requirements in industry. The quality of the specification depends on the capability of the writer to formulate requirements aimed at different stakeholders: they are an expression of the customer’s needs that are used by analysts, designers and testers. Given this central role of requirements as a mean to communicate intention, assuring their quality is essential to reduce misunderstandings that lead to potential waste. Problem: Quality assurance of requirement specifications is largely a manual effort that requires expertise and domain knowledge. However, this demanding cognitive process is also congested by trivial quality issues that should not occur in the first place. Principal ideas: We propose a taxonomy of requirements quality assurance complexity that characterizes cognitive load of verifying a quality aspect from the human perspective, and automation complexity and accuracy from the machine perspective. Contribution: Once this taxonomy is realized and validated, it can serve as the basis for a decision framework of automated requirements quality assurance support. © Springer International Publishing AG 2017.</t>
  </si>
  <si>
    <t>10.1007/978-3-319-54045-0_6</t>
  </si>
  <si>
    <t>https://www.scopus.com/inward/record.uri?eid=2-s2.0-85013916456&amp;doi=10.1007%2f978-3-319-54045-0_6&amp;partnerID=40&amp;md5=615362d9396e4c3a5e12c46d4b48567d</t>
  </si>
  <si>
    <t>Unterkalmsteiner, M.; Gorschek, T.</t>
  </si>
  <si>
    <t>Unterkalmsteiner, Michael; Gorschek, Tony</t>
  </si>
  <si>
    <t>Requirements Quality Assurance in Industry: Why, What and How?</t>
  </si>
  <si>
    <t>Lecture Notes in Computer Science</t>
  </si>
  <si>
    <t>http://dx.doi.org/10.1007/978-3-319-54045-0_6</t>
  </si>
  <si>
    <t>van Vliet M.; Groen E.C.; Dalpiaz F.; Brinkkemper S.</t>
  </si>
  <si>
    <t>van Vliet, Martijn (57205581732); Groen, Eduard C. (56669554200); Dalpiaz, Fabiano (24400635100); Brinkkemper, Sjaak (15043525500)</t>
  </si>
  <si>
    <t>57205581732; 56669554200; 24400635100; 15043525500</t>
  </si>
  <si>
    <t>Identifying and Classifying User Requirements in Online Feedback via Crowdsourcing</t>
  </si>
  <si>
    <t>[Context and motivation] App stores and social media channels such as Twitter enable users to share feedback regarding software. Due to its high volume, it is hard to effectively and systematically process such feedback to obtain a good understanding of users’ opinions about a software product. [Question/problem] Tools based on natural language processing and machine learning have been proposed as an inexpensive mechanism for classifying user feedback. Unfortunately, the accuracy of these tools is imperfect, which jeopardizes the reliability of the analysis results. We investigate whether assigning micro-tasks to crowd workers could be an alternative technique for identifying and classifying requirements in user feedback. [Principal ideas/results] We present a crowdsourcing method for filtering out irrelevant app store reviews and for identifying features and qualities. A validation study has shown positive results in terms of feasibility, accuracy, and cost. [Contribution] We provide evidence that crowd workers can be an inexpensive yet accurate resource for classifying user reviews. Our findings contribute to the debate on the roles of and synergies between humans and AI techniques. © 2020, Springer Nature Switzerland AG.</t>
  </si>
  <si>
    <t>10.1007/978-3-030-44429-7_11</t>
  </si>
  <si>
    <t>https://www.scopus.com/inward/record.uri?eid=2-s2.0-85083996578&amp;doi=10.1007%2f978-3-030-44429-7_11&amp;partnerID=40&amp;md5=4184a243690e20e0862b2ce560b31a94</t>
  </si>
  <si>
    <t>Veizaga, A.; Alferez, M.; Torre, D.; Sabetzadeh, M.; Briand, L.</t>
  </si>
  <si>
    <t>Veizaga, Alvaro; Alferez, Mauricio; Torre, Damiano; Sabetzadeh, Mehrdad; Briand, Lionel</t>
  </si>
  <si>
    <t>On Systematically Building a Controlled Natural Language for Functional Requirements</t>
  </si>
  <si>
    <t>Natural language (NL) is pervasive in software requirements specifications (SRSs). However, despite its popularity and widespread use, NL is highly prone to quality issues such as vagueness, ambiguity, and incompleteness. Controlled natural languages (CNLs) have been proposed as a way to prevent quality problems in requirements documents, while maintaining the flexibility to write and communicate requirements in an intuitive and universally understood manner. In collaboration with an industrial partner from the financial domain, we systematically develop and evaluate a CNL, named Rimay, intended at helping analysts write functional requirements. We rely on Grounded Theory for building Rimay and follow well-known guidelines for conducting and reporting industrial case study research. Our main contributions are: (1) a qualitative methodology to systematically define a CNL for functional requirements; this methodology is intended to be general for use across information-system domains, (2) a CNL grammar to represent functional requirements; this grammar is derived from our experience in the financial domain, but should be applicable, possibly with adaptations, to other information-system domains, and (3) an empirical evaluation of our CNL (Rimay) through an industrial case study. Our contributions draw on 15 representative SRSs, collectively containing 3215 NL requirements statements from the financial domain. Our evaluation shows that Rimay is expressive enough to capture, on average, 88% (405 out of 460) of the NL requirements statements in four previously unseen SRSs from the financial domain.</t>
  </si>
  <si>
    <t>10.48550/arXiv.2005.01355</t>
  </si>
  <si>
    <t>https://arxiv.org/abs/2005.01355</t>
  </si>
  <si>
    <t>Verma R.P.; Beg M.R.</t>
  </si>
  <si>
    <t>Verma, Ravi Prakash (36804165300); Beg, Md. Rizwan (26639129800)</t>
  </si>
  <si>
    <t>36804165300; 26639129800</t>
  </si>
  <si>
    <t>Generation of test cases from software requirements using natural language processing</t>
  </si>
  <si>
    <t>Software testing plays an important role in early verification of software systems and it enforces quality in the system under development. One of the challenging tasks in the software testing is generation of software test cases. There are many existing approaches to generate test cases like using uses case, activity diagrams and sequence diagrams, they have their own limitations such as inability to capture test cases for non functional requirements and etc. Thus these techniques have restricted use in acceptance testing and are not effective for verification &amp;amp; acceptance of large software system. If software requirements are stated using semi-formal or formal methods then it is difficult for the testers and other third party domain experts to test the system. It also requires much expertise in interpreting requirements and only limited number of persons can understand them. This paper proposes an approach to generate test case from software requirements expressed in natural language using natural language processing technique. © 2013 IEEE.</t>
  </si>
  <si>
    <t>International Conference on Emerging Trends in Engineering and Technology, ICETET</t>
  </si>
  <si>
    <t>6754807</t>
  </si>
  <si>
    <t>10.1109/ICETET.2013.45</t>
  </si>
  <si>
    <t>https://www.scopus.com/inward/record.uri?eid=2-s2.0-84898936363&amp;doi=10.1109%2fICETET.2013.45&amp;partnerID=40&amp;md5=ade2df7806af6fe402b0959a343fc07e</t>
  </si>
  <si>
    <t>Vijayvargiya S.; Kumar L.; Murthy L.B.; Misra S.</t>
  </si>
  <si>
    <t>Vijayvargiya, Sanidhya (57611375900); Kumar, Lov (56120791500); Murthy, Lalita Bhanu (57197306945); Misra, Sanjay (56962766700)</t>
  </si>
  <si>
    <t>57611375900; 56120791500; 57197306945; 56962766700</t>
  </si>
  <si>
    <t>Software Requirements Classification using Deep-learning Approach with Various Hidden Layers</t>
  </si>
  <si>
    <t>Software requirement classification is becoming increasingly crucial for the industry to keep up with the demand of growing project sizes. Based on client feedback or demand, software requirement classification is critical in segregating user needs into functional and quality requirements. However, because there are numerous machine learning (ML) and deep-learning (DL) models that require parameter tuning, the use of ML to facilitate decision-making across the software engineering pipeline is not well understood. Five distinct word embedding techniques were applied to the functional and quality software requirements in this study. The imbalanced classes in the dataset are balanced using Synthetic Minority Oversampling technique (SMOTE). Then, to reduce duplicate and unnecessary features, feature selection and dimensionality reduction techniques are used. Dimensionality reduction is accomplished with Principal Component Analysis (PCA), while feature selection is accomplished with the Rank-Sum Test (RST). For binary categorization into functional and non-functional needs, the generated vectors are provided as inputs to eight distinct Deep Learning classifiers. The findings of the research show that using a combination of word embedding and feature selection techniques in conjunction with various classifiers can accurately classify functional and quality software requirements. © 2022 Polish Information Processing Society.</t>
  </si>
  <si>
    <t>Proceedings of the 17th Conference on Computer Science and Intelligence Systems, FedCSIS 2022</t>
  </si>
  <si>
    <t>10.15439/2022F140</t>
  </si>
  <si>
    <t>https://www.scopus.com/inward/record.uri?eid=2-s2.0-85141145701&amp;doi=10.15439%2f2022F140&amp;partnerID=40&amp;md5=ed7c21010527f63565ae9c766b0590e9</t>
  </si>
  <si>
    <t>Villamizar H.; Anderlin Neto A.; Kalinowski M.; Garcia A.; Méndez D.</t>
  </si>
  <si>
    <t>Villamizar, Hugo (57204793973); Anderlin Neto, Amadeu (55681273300); Kalinowski, Marcos (8288075800); Garcia, Alessandro (7404608626); Méndez, Daniel (55614741000)</t>
  </si>
  <si>
    <t>57204793973; 55681273300; 8288075800; 7404608626; 55614741000</t>
  </si>
  <si>
    <t>An approach for reviewing security-related aspects in agile requirements specifications of web applications</t>
  </si>
  <si>
    <t>Defects in requirements specifications can have severe consequences during the software development lifecycle. Some of them result in overall project failure due to incorrect or missing quality characteristics such as security. There are several concerns that make security difficult to deal with; for instance, (1) when stakeholders discuss general requirements in meetings, they are often unaware that they should also discuss security-related topics, and (2) they typically do not have enough expertise in security. This often leads to unspecified or ill-defined security-related aspects. These concerns become even more challenging in agile contexts, where lightweight documentation is typically involved. The goal of this paper is to design and evaluate an approach for reviewing security-related aspects in agile requirements specifications of web applications. The approach considers user stories and security specifications as input and relates those user stories to security properties via Natural Language Processing. Based on the related security properties, our approach then identifies high-level security requirements from the Open Web Application Security Project to be verified and generates a reading technique to support reviewers in detecting defects. We evaluate our approach via two controlled experiment trials. We compare the effectiveness and efficiency of novice inspectors verifying security aspects in agile requirements using our approach against using the complete list of high-level security requirements. The (statistically significant) results indicate that using our approach has a positive impact (with large effect size) on the performance of inspectors in terms of effectiveness and efficiency. © 2019 IEEE.</t>
  </si>
  <si>
    <t>8920644</t>
  </si>
  <si>
    <t>10.1109/RE.2019.00020</t>
  </si>
  <si>
    <t>https://www.scopus.com/inward/record.uri?eid=2-s2.0-85076927129&amp;doi=10.1109%2fRE.2019.00020&amp;partnerID=40&amp;md5=eb66474c59b7cafb5270e10a961ad421</t>
  </si>
  <si>
    <t>Villamizar H.; Kalinowski M.; Garcia A.; Mendez D.</t>
  </si>
  <si>
    <t>Villamizar, Hugo (57204793973); Kalinowski, Marcos (8288075800); Garcia, Alessandro (7404608626); Mendez, Daniel (55614741000)</t>
  </si>
  <si>
    <t>57204793973; 8288075800; 7404608626; 55614741000</t>
  </si>
  <si>
    <t>An efficient approach for reviewing security-related aspects in agile requirements specifications of web applications</t>
  </si>
  <si>
    <t>Defects in requirement specifications can have severe consequences during the software development life cycle. Some of them may result in poor product quality and/or time and budget overrun due to incorrect or missing quality characteristics, such as security. This characteristic requires special attention in web applications because they have become a target for manipulating sensible data. Several concerns make security difficult to deal with. For instance, security requirements are often misunderstood and improperly specified due to lack of security expertise and emphasis on security during early stages of software development. This often leads to unspecified or ill-defined security-related aspects. These concerns become even more challenging in agile contexts, where lightweight documentation is typically produced. To tackle this problem, we designed an approach for reviewing security-related aspects in agile requirements specifications of web applications. Our proposal considers user stories and security specifications as inputs and relates those user stories to security properties via natural language processing. Based on the related security properties, our approach identifies high-level security requirements from the Open Web Application Security Project (OWASP) to be verified and generates a reading technique to support reviewers in detecting defects. We evaluate our approach via three experimental trials conducted with 56 novice software engineers, measuring effectiveness, efficiency, usefulness and ease of use. We compare our approach against using: (1) the OWASP high-level security requirements and (2) a perspective-based approach as proposed in contemporary state of the art. The results strengthen our confidence that using our approach has a positive impact (with large effect size) on the performance of inspectors in terms of effectiveness and efficiency. © 2020, Springer-Verlag London Ltd., part of Springer Nature.</t>
  </si>
  <si>
    <t>25</t>
  </si>
  <si>
    <t>10.1007/s00766-020-00338-w</t>
  </si>
  <si>
    <t>https://www.scopus.com/inward/record.uri?eid=2-s2.0-85091237223&amp;doi=10.1007%2fs00766-020-00338-w&amp;partnerID=40&amp;md5=1c6d116657a75743a5297903126c439f</t>
  </si>
  <si>
    <t>Villamizar, H.; Kalinowski, M.; Garcia, A.; Mendez Fernández, D.</t>
  </si>
  <si>
    <t>Villamizar, Hugo; Kalinowski, Marcos; Garcia, Alessandro; Mendez Fernández, Daniel</t>
  </si>
  <si>
    <t>An Efficient Approach for Reviewing Security-Related Aspects in Agile Requirements Specifications of Web Applications</t>
  </si>
  <si>
    <t>10.48550/arXiv.2009.03678</t>
  </si>
  <si>
    <t>https://arxiv.org/abs/2009.03678</t>
  </si>
  <si>
    <t>Villamizar, H.; Neto, A. A.; Kalinowski, M.; Garcia, A.; Mendez Fernández, D.</t>
  </si>
  <si>
    <t>An Approach for Reviewing Security-Related Aspects in Agile Requirements Specifications of Web Applications</t>
  </si>
  <si>
    <t>10.48550/arXiv.1906.11432</t>
  </si>
  <si>
    <t>https://arxiv.org/abs/1906.11432</t>
  </si>
  <si>
    <t>Vogelsang A.</t>
  </si>
  <si>
    <t>Vogelsang, Andreas (56254083200)</t>
  </si>
  <si>
    <t>56254083200</t>
  </si>
  <si>
    <t>Explainable software systems</t>
  </si>
  <si>
    <t>Software and software-controlled technical systems play an increasing role in our daily lives. In cyber-physical systems, which connect the physical and the digital world, software does not only influence how we perceive and interact with our environment but software also makes decisions that influence our behavior. Therefore, the ability of software systems to explain their behavior and decisions will become an important property that will be crucial for their acceptance in our society. We call software systems with this ability explainable software systems. In the past, we have worked on methods and tools to design explainable software systems. In this article, we highlight some of our work on how to design explainable software systems. More specifically, we describe an architectural framework for designing self-explainable software systems, which is based on the MAPE-loop for self-adaptive systems. Afterward, we show that explainability is also important for tools that are used by engineers during the development of software systems. We show examples from the area of requirements engineering where we use techniques from natural language processing and neural networks to help engineers comprehend the complex information structures embedded in system requirements. © 2019 Walter de Gruyter GmbH, Berlin/Boston.</t>
  </si>
  <si>
    <t>IT - Information Technology</t>
  </si>
  <si>
    <t>61</t>
  </si>
  <si>
    <t>10.1515/itit-2019-0015</t>
  </si>
  <si>
    <t>https://www.scopus.com/inward/record.uri?eid=2-s2.0-85075145682&amp;doi=10.1515%2fitit-2019-0015&amp;partnerID=40&amp;md5=782c2d2803e79443fa9bc3a6ee006cd9</t>
  </si>
  <si>
    <t>Vogelsang A.; Femmer H.; Winkler C.</t>
  </si>
  <si>
    <t>Vogelsang, Andreas (56254083200); Femmer, Henning (53879806300); Winkler, Christian (58343292500)</t>
  </si>
  <si>
    <t>56254083200; 53879806300; 58343292500</t>
  </si>
  <si>
    <t>Take care of your modes! an investigation of defects in automotive requirements</t>
  </si>
  <si>
    <t>10.1007/978-3-319-30282-9_11</t>
  </si>
  <si>
    <t>https://www.scopus.com/inward/record.uri?eid=2-s2.0-84960933563&amp;doi=10.1007%2f978-3-319-30282-9_11&amp;partnerID=40&amp;md5=297fb8aedee1cb3c6e9f7d34c873b952</t>
  </si>
  <si>
    <t>Wang B.; Deng Y.; Wan H.; Li X.</t>
  </si>
  <si>
    <t>Wang, Bangchao (57192396231); Deng, Yang (58040150400); Wan, Hongyan (57191251910); Li, Xingfu (58040098000)</t>
  </si>
  <si>
    <t>57192396231; 58040150400; 57191251910; 58040098000</t>
  </si>
  <si>
    <t>DF4RT: Deep Forest for Requirements Traceability Recovery Between Use Cases and Source Code</t>
  </si>
  <si>
    <t>Nowadays, many supervised learning techniques have been applied to requirements traceability recovery (RTR). However, the performance of these supervised learning techniques is still far from satisfactory, and exploring a more effective model is necessary. This paper proposes a new deep forest model for RTR(DF4RT) with a novel composition to improve the model's performance. The proposed model incorporates three feature representation methods, which not only information retrieval and query quality but also add distance. The DF4RT model is evaluated on four open-source projects and compared with nine state-of-the-art tracing approaches. The experimental results show that DF4RT improves precision by 94%, recall by 58%, and F-measure by 72% on average. We also conduct ablation experiments to explore the impact of the different features. It is the first time that deep forest is employed in requirements traceability. Our approach is effective for RTR with good interpretability, few parameters, and good performance in small-scale data.  © 2023 IEEE.</t>
  </si>
  <si>
    <t>Conference Proceedings - IEEE International Conference on Systems, Man and Cybernetics</t>
  </si>
  <si>
    <t>10.1109/SMC53992.2023.10394259</t>
  </si>
  <si>
    <t>https://www.scopus.com/inward/record.uri?eid=2-s2.0-85187302567&amp;doi=10.1109%2fSMC53992.2023.10394259&amp;partnerID=40&amp;md5=5bafa7605c9b879b70b53e927d63c7cb</t>
  </si>
  <si>
    <t>Wang T.; Li C.; Wang C.; Li T.; Zhai Y.</t>
  </si>
  <si>
    <t>Wang, Tianci (57930123100); Li, Chunwang (58920636000); Wang, Chunhui (57200387605); Li, Tong (56226319700); Zhai, Ye (57209472410)</t>
  </si>
  <si>
    <t>57930123100; 58920636000; 57200387605; 56226319700; 57209472410</t>
  </si>
  <si>
    <t>A Deep Learning-Based Method for Identifying User Story Semantic Conflicts</t>
  </si>
  <si>
    <t>User stories are a common way of expressing requirements in agile software development. Generally, user stories are written by customers or users in their roles to describe their needs for the to-be system. Since user stories are written by different stakeholders and are refined and modified as agile software versions evolve, there may be conflicts between different user stories. There are many conflicts in user stories, such as duplication and inconsistency between each other. Some of the inconsistencies in user stories are the use of negative words, antonyms, or inconsistencies in the description logic of user story behavior. We call these inconsistencies semantic conflicts. These semantic conflicts make it difficult for agile development teams to understand requirements and make development plans. This paper summarizes two types of semantic conflicts and proposes a deep learn-based approach to identify semantic conflicts between user stories. Through the evaluation of the user story dataset on 9060, the experimental results show that our model has a 95.25% precision, 90.11 % recall and 92.18% F1-Score. Using this automated semantic conflict identification method will help agile team quickly find semantic conflicts between user stories and improve the quality of agile requirements development. © 2023 IEEE.</t>
  </si>
  <si>
    <t>Proceedings - 2023 IEEE 23rd International Conference on Software Quality, Reliability, and Security Companion, QRS-C 2023</t>
  </si>
  <si>
    <t>10.1109/QRS-C60940.2023.00063</t>
  </si>
  <si>
    <t>https://www.scopus.com/inward/record.uri?eid=2-s2.0-85186745992&amp;doi=10.1109%2fQRS-C60940.2023.00063&amp;partnerID=40&amp;md5=33f9fd5a97345ee02ebca92465e03c16</t>
  </si>
  <si>
    <t>Wang T.; Wang C.; Li T.; Liu Z.; Zhai Y.</t>
  </si>
  <si>
    <t>Wang, Tianci (57930123100); Wang, Chunhui (57200387605); Li, Tong (56226319700); Liu, Zhiguo (57316920700); Zhai, Ye (57209472410)</t>
  </si>
  <si>
    <t>57930123100; 57200387605; 56226319700; 57316920700; 57209472410</t>
  </si>
  <si>
    <t>User Story Quality Assessment Based on Multi-dimensional Perspective: A Preliminary Framework</t>
  </si>
  <si>
    <t>User stories are widely adopted in agile development. Generally, user stories are written by users or customers to describe their needs for the to-be software system. User stories are written in structured natural languages, which may suffer from ambiguity and inconsistency. These user story defects make it difficult for agile development teams to understand requirements and make development plans. User story quality assessment has been investigated for years to mitigate this problem. Most of the current works focus on grammatical defect checking of a user story, but lack semantic defect checking between user stories. In this paper, we propose a multi-dimensional user story quality assessment framework, which is an ongoing study. Specifically, our proposal considers three dimensions, including completeness, testability, and consistency. 11 quality criteria are used to observe user story quality. Our method combines typical NLP techniques and a novel iStar modeling-based analysis to discover defects in user stories from the three dimensions. © 2022 Copyright for this paper by its authors. Use permitted under Creative Commons License Attribution 4.0 International (CC BY 4.0)</t>
  </si>
  <si>
    <t>3231</t>
  </si>
  <si>
    <t>https://www.scopus.com/inward/record.uri?eid=2-s2.0-85139963858&amp;partnerID=40&amp;md5=d12583e444edcd830153f878c4b039c3</t>
  </si>
  <si>
    <t>Wang X.; Li C.; Zhao L.</t>
  </si>
  <si>
    <t>Wang, Xiaobing (45061262200); Li, Chunyi (57245917600); Zhao, Liang (55493708000)</t>
  </si>
  <si>
    <t>45061262200; 57245917600; 55493708000</t>
  </si>
  <si>
    <t>Requirement specification extraction and analysis based on propositional projection temporal logic</t>
  </si>
  <si>
    <t>At present, formal methods significantly facilitate the specification and verification of security requirements in requirement engineering, which can reduce requirement errors in the early stage of system development. Extracting formal specifications from security requirements and then evaluating the quality of the requirements are regarded as a promising solution to ensure software quality. Propositional projection temporal logic (PPTL) with a strong mathematical basis and full regular expressiveness is a suitable language for formal specifications. Inspired by natural language processing and text mining techniques, this paper designs and implements a tool, namely, NL2PPTL, to generate formal coarse-grained and fine-grained specifications in terms of PPTL formulas automatically. In specific, the grammatical production rules are defined to construct the syntax tree, and then, the formula is obtained by post-order traversal of the tree. The satisfiability of the PPTL specifications can be checked utilizing PPTLSAT. In addition, the state transformation model is constructed from fine-grained specifications, so as to discover scope conflicts and verify the security properties of the requirement case. © 2023 John Wiley &amp; Sons Ltd.</t>
  </si>
  <si>
    <t>Journal of Software: Evolution and Process</t>
  </si>
  <si>
    <t>e2558</t>
  </si>
  <si>
    <t>10.1002/smr.2558</t>
  </si>
  <si>
    <t>https://www.scopus.com/inward/record.uri?eid=2-s2.0-85150895714&amp;doi=10.1002%2fsmr.2558&amp;partnerID=40&amp;md5=d57ddd6c9d5323fd9d0605497391ca43</t>
  </si>
  <si>
    <t>Wang Y.; Jiang B.; Wang T.</t>
  </si>
  <si>
    <t>Wang, Ye (55734201800); Jiang, Bo (57193331129); Wang, Ting (56159932200)</t>
  </si>
  <si>
    <t>55734201800; 57193331129; 56159932200</t>
  </si>
  <si>
    <t>Using workflow patterns to model and validate service requirements</t>
  </si>
  <si>
    <t>Service requirements documentation plays a crucial role on the quality of service-oriented systems to be developed. A large amount of service requirements are documented in the form of natural language, which are usually human-centric and therefore error-prone and inaccurate. In order to improve the quality of service requirements documents, we propose a service requirements modeling and validation method using workflow patterns. First, it extracts the process information using natural language processing tools. Then it formalizes the process information with a requirements modeling language - Workflow-Patterns-based Process Language (WPPL). Finally, the defects existed in service requirements are checked against a set of checking rules by matching with workflow patterns. A financial service example - Trade Order - was used to illustrate our approach. © 2016 IEEE.</t>
  </si>
  <si>
    <t>7815636</t>
  </si>
  <si>
    <t>10.1109/REW.2016.18</t>
  </si>
  <si>
    <t>https://www.scopus.com/inward/record.uri?eid=2-s2.0-85013059435&amp;doi=10.1109%2fREW.2016.18&amp;partnerID=40&amp;md5=dd8d29ac721f45b0b1445cdfd564d243</t>
  </si>
  <si>
    <t>White, J.; Hays, S.; Fu, Q.; Spencer-Smith, J.; Schmidt, D. C.</t>
  </si>
  <si>
    <t>White, Jules; Hays, Sam; Fu, Quchen; Spencer-Smith, Jesse; Schmidt, Douglas C.</t>
  </si>
  <si>
    <t>ChatGPT Prompt Patterns for Improving Code Quality, Refactoring, Requirements Elicitation, and Software Design</t>
  </si>
  <si>
    <t>This paper presents prompt design techniques for software engineering, in the form of patterns, to solve common problems when using large language models (LLMs), such as ChatGPT to automate common software engineering activities, such as ensuring code is decoupled from third-party libraries and simulating a web application API before it is implemented. This paper provides two contributions to research on using LLMs for software engineering. First, it provides a catalog of patterns for software engineering that classifies patterns according to the types of problems they solve. Second, it explores several prompt patterns that have been applied to improve requirements elicitation, rapid prototyping, code quality, refactoring, and system design.</t>
  </si>
  <si>
    <t>10.48550/arXiv.2303.07839</t>
  </si>
  <si>
    <t>https://arxiv.org/abs/2303.07839v1</t>
  </si>
  <si>
    <t>Wiecher C.; Japs S.; Kaiser L.; Greenyer J.; Dumitrescu R.; Wolff C.</t>
  </si>
  <si>
    <t>Wiecher, Carsten (57212110875); Japs, Sergej (57219564724); Kaiser, Lydia (35750063500); Greenyer, Joel (22979533400); Dumitrescu, Roman (35101763000); Wolff, Carsten (54421696300)</t>
  </si>
  <si>
    <t>57212110875; 57219564724; 35750063500; 22979533400; 35101763000; 54421696300</t>
  </si>
  <si>
    <t>Scenarios in the loop: Integrated requirements analysis and automotive system validation</t>
  </si>
  <si>
    <t>The development of safety-relevant systems in the automotive industry requires the definition of high-quality requirements and tests for the coordination and monitoring of development activities in an agile development environment. In this paper we describe a Scenarios in the Loop (SCIL) approach. SCIL combines (1) natural language requirements specification based on Behavior-Driven Development (BDD) with (2) formal and test-driven requirements modeling and analysis, and (3) integrates discipline-specific tools for software and system validation during development. A central element of SCIL is a flexible and executable scenario-based modeling language, the Scenario Modeling Language for Kotlin (SMLK). SMLK allows for an intuitive requirements formalization, and supports engineers to move iteratively, and continuously aided by automated checks, from stakeholder requirements to the validation of the implemented system. We evaluated the approach using a real example from the field of e-mobility.  © 2020 ACM.</t>
  </si>
  <si>
    <t>Proceedings - 23rd ACM/IEEE International Conference on Model Driven Engineering Languages and Systems, MODELS-C 2020 - Companion Proceedings</t>
  </si>
  <si>
    <t>10.1145/3417990.3421264</t>
  </si>
  <si>
    <t>https://www.scopus.com/inward/record.uri?eid=2-s2.0-85096773418&amp;doi=10.1145%2f3417990.3421264&amp;partnerID=40&amp;md5=eb1e79752c28cb1a5d916698502d5e7c</t>
  </si>
  <si>
    <t>Winkler J.; Grönberg J.; Vogelsang A.</t>
  </si>
  <si>
    <t>Winkler, Jonas (57193332700); Grönberg, Jannis (57212506899); Vogelsang, Andreas (56254083200)</t>
  </si>
  <si>
    <t>57193332700; 57212506899; 56254083200</t>
  </si>
  <si>
    <t>Predicting How to Test Requirements: An Automated Approach</t>
  </si>
  <si>
    <t>An important task in requirements engineering is to identify and determine how to verify a requirement (e.g., by manual review, testing, or simulation; also called potential veriĄcation method). This information is required to effectively create test cases and verification plans for requirements. In this paper, we propose an automatic approach to classify natural language requirements with respect to their potential verification methods (PVM). Our approach uses a convolutional neural network architecture to implement a multiclass and multilabel classifier that assigns probabilities to a predefined set of six possible verification methods, which we derived from an industrial guideline. Additionally, we implemented a backtracing approach to analyze and visualize the reasons for the network's decisions. In a 10-fold cross validation on a set of about 27,000 industrial requirements, our approach achieved a macro averaged F1 score of 0.79 across all labels. The results show that our approach might help to increase the quality of requirements specifications with respect to the PVM attribute and guide engineers in effectively deriving test cases and verification plans. © 2020 Gesellschaft fur Informatik (GI). All rights reserved.</t>
  </si>
  <si>
    <t>Lecture Notes in Informatics (LNI), Proceedings - Series of the Gesellschaft fur Informatik (GI)</t>
  </si>
  <si>
    <t>P-300</t>
  </si>
  <si>
    <t>10.18420/SE2020_43</t>
  </si>
  <si>
    <t>https://www.scopus.com/inward/record.uri?eid=2-s2.0-85138727268&amp;doi=10.18420%2fSE2020_43&amp;partnerID=40&amp;md5=e105a7f0cddb618fe1d6113589e236fa</t>
  </si>
  <si>
    <t>Winkler J.; Vogelsang A.</t>
  </si>
  <si>
    <t>Winkler, Jonas (57193332700); Vogelsang, Andreas (56254083200)</t>
  </si>
  <si>
    <t>57193332700; 56254083200</t>
  </si>
  <si>
    <t>Automatic classification of requirements based on convolutional neural networks</t>
  </si>
  <si>
    <t>The results of the requirements engineering process are predominantly documented in natural language requirements specifications. Besides the actual requirements, these documents contain additional content such as explanations, summaries, and figures. For the later use of requirements specifications, it is important to be able to differentiate between legally relevant requirements and other auxiliary content. Therefore, one of our industry partners demands the requirements engineers to manually label each content element of a requirements specification as 'requirement' or 'information'. However, this manual labeling task is time-consuming and error-prone. In this paper, we present an approach to automatically classify content elements of a natural language requirements specification as 'requirement' or 'information'. Our approach uses convolutional neural networks. In an initial evaluation on a real-world automotive requirements specification, our approach was able to detect requirements with a precision of 0.73 and a recall of 0.89. The approach increases the quality of requirements specifications in the sense that it discriminates important content for following activities (e.g., which parts of the specification do I need to test?). © 2016 IEEE.</t>
  </si>
  <si>
    <t>781560</t>
  </si>
  <si>
    <t>10.1109/REW.2016.16</t>
  </si>
  <si>
    <t>https://www.scopus.com/inward/record.uri?eid=2-s2.0-85013128187&amp;doi=10.1109%2fREW.2016.16&amp;partnerID=40&amp;md5=8b58b3d8fcd3cbeeef2865518856e2bf</t>
  </si>
  <si>
    <t>Winkler J.P.; Grönberg J.; Vogelsang A.</t>
  </si>
  <si>
    <t>Winkler, Jonas Paul (57193332700); Grönberg, Jannis (57212506899); Vogelsang, Andreas (56254083200)</t>
  </si>
  <si>
    <t>Predicting how to test requirements: An automated approach</t>
  </si>
  <si>
    <t>An important task in requirements engineering is to identify and determine how to verify a requirement (e.g., by manual review, testing, or simulation; also called potential verification method). This information is required to effectively create test cases and verification plans for requirements. [Objective] In this paper, we propose an automatic approach to classify natural language requirements with respect to their potential verification methods (PVM). [Method] Our approach uses a convolutional neural network architecture to implement a multiclass and multilabel classifier that assigns probabilities to a predefined set of six possible verification methods, which we derived from an industrial guideline. Additionally, we implemented a backtracing approach to analyze and visualize the reasons for the network's decisions. [Results] In a 10-fold cross validation on a set of about 27,000 industrial requirements, our approach achieved a macro averaged F1 score of 0.79 across all labels. For the classification into test or non-test, the approach achieves an even higher F1 score of 0.94. [Conclusions] The results show that our approach might help to increase the quality of requirements specifications with respect to the PVM attribute and guide engineers in effectively deriving test cases and verification plans. © 2019 IEEE.</t>
  </si>
  <si>
    <t>8920404</t>
  </si>
  <si>
    <t>10.1109/RE.2019.00023</t>
  </si>
  <si>
    <t>https://www.scopus.com/inward/record.uri?eid=2-s2.0-85076919092&amp;doi=10.1109%2fRE.2019.00023&amp;partnerID=40&amp;md5=a6179ddaeb225de2233c77b76b055354</t>
  </si>
  <si>
    <t>Winkler J.P.; Vogelsang A.</t>
  </si>
  <si>
    <t>Winkler, Jonas Paul (57193332700); Vogelsang, Andreas (56254083200)</t>
  </si>
  <si>
    <t>Using tools to assist identification of non-requirements in requirements specifications – A controlled experiment</t>
  </si>
  <si>
    <t>[Context and motivation] In many companies, textual fragments in specification documents are categorized into requirements and non-requirements. This categorization is important for determining liability, deriving test cases, and many more decisions. In practice, this categorization is usually performed manually, which makes it labor-intensive and error-prone. [Question/problem] We have developed a tool to assist users in this task by providing warnings based on classification using neural networks. However, we currently do not know whether using the tool actually helps increasing the classification quality compared to not using the tool. [Principal idea/results] Therefore, we performed a controlled experiment with two groups of students. One group used the tool for a given task, whereas the other did not. By comparing the performance of both groups, we can assess in which scenarios the application of our tool is beneficial. [Contribution] The results show that the application of an automated classification approach may provide benefits, given that the accuracy is high enough. © Springer International Publishing AG, part of Springer Nature 2018.</t>
  </si>
  <si>
    <t>10.1007/978-3-319-77243-1_4</t>
  </si>
  <si>
    <t>https://www.scopus.com/inward/record.uri?eid=2-s2.0-85043376087&amp;doi=10.1007%2f978-3-319-77243-1_4&amp;partnerID=40&amp;md5=f472d516ae0e70ef4ddb89beeac1100d</t>
  </si>
  <si>
    <t>Yang Y.; Zhang Q.; Li C.; Marta D.S.; Batool N.; Folkesson J.</t>
  </si>
  <si>
    <t>Yang, Yi (58743483600); Zhang, Qingwen (57735884700); Li, Ci (57225172406); Marta, Daniel Simoes (57373251100); Batool, Nazre (55419563100); Folkesson, John (16063188100)</t>
  </si>
  <si>
    <t>58743483600; 57735884700; 57225172406; 57373251100; 55419563100; 16063188100</t>
  </si>
  <si>
    <t>Human-Centric Autonomous Systems With LLMs for User Command Reasoning</t>
  </si>
  <si>
    <t>The evolution of autonomous driving has made remark-able advancements in recent years, evolving into a tangible reality. However, a human-centric large-scale adoption hinges on meeting a variety of multifaceted requirements. To ensure that the autonomous system meets the user's intent, it is essential to accurately discern and interpret user commands, especially in complex or emergency situations. To this end, we propose to leverage the reasoning capabilities of Large Language Models (LLMs) to infer system requirements from in-cabin users' commands. Through a series of experiments that include different LLM models and prompt designs, we explore the few-shot mul-tivariate binary classification accuracy of system requirements from natural language textual commands. We confirm the general ability of LLMs to understand and reason about prompts but underline that their effectiveness is conditioned on the quality of both the LLM model and the design of appropriate sequential prompts. Code and models are public with the link ht tps: / / github. com/KTH-RPL/Dri veCmd_LLM.  © 2024 IEEE.</t>
  </si>
  <si>
    <t>Proceedings - 2024 IEEE Winter Conference on Applications of Computer Vision Workshops, WACVW 2024</t>
  </si>
  <si>
    <t>10.1109/WACVW60836.2024.00108</t>
  </si>
  <si>
    <t>https://www.scopus.com/inward/record.uri?eid=2-s2.0-85188691382&amp;doi=10.1109%2fWACVW60836.2024.00108&amp;partnerID=40&amp;md5=df07239d5bb722f133c2fbde45f1dc34</t>
  </si>
  <si>
    <t>Yang, Y., Zhang, Q., Li, C., Marta, D. S.; Batool, N.; Folkesson, J.</t>
  </si>
  <si>
    <t>Yang, Yi; Zhang, Qingwen; Li, Ci; Marta, Daniel Simões; Batool, Nazre; Folkesson, John</t>
  </si>
  <si>
    <t>10.48550/arXiv.2311.08206</t>
  </si>
  <si>
    <t>https://arxiv.org/abs/2311.08206v2</t>
  </si>
  <si>
    <t>Yilmaz A.E.</t>
  </si>
  <si>
    <t>Yilmaz, A. Egemen (55638847900)</t>
  </si>
  <si>
    <t>55638847900</t>
  </si>
  <si>
    <t>Natural language processing: An inevitable step in requirements engineering</t>
  </si>
  <si>
    <t>Requirement analysis is the very first and crucial step in the software development processes. On the other hand, as previously addressed by other researchers, it is the Achilles' heel of the whole process since the requirements lie on the problem space, whereas other software artifacts are on the solution space. Stating the requirements in a clear manner eases the following steps in the process as well as reducing the number of potential errors. In this paper, techniques for the improvement of the requirements expressed in the natural language are revisited. These techniques try to check the requirement quality attributes via lexical and syntactic analysis methods sometimes with generic, and sometimes domain and application specific knowledge bases. © 2017 by IGI Global. All rights reserved.</t>
  </si>
  <si>
    <t>Artificial Intelligence: Concepts, Methodologies, Tools, and Applications</t>
  </si>
  <si>
    <t>10.4018/978-1-5225-1759-7.ch053</t>
  </si>
  <si>
    <t>https://www.scopus.com/inward/record.uri?eid=2-s2.0-85018542941&amp;doi=10.4018%2f978-1-5225-1759-7.ch053&amp;partnerID=40&amp;md5=467664d038c6b1808eb7f4c3d698f30a</t>
  </si>
  <si>
    <t>Requirement analysis is the very first and crucial step in the software development processes. On the other hand, as previously addressed by other researchers, it is the Achilles’ heel of the whole process since the requirements lie on the problem space, whereas other software artifacts are on the solution space. Stating the requirements in a clear manner eases the following steps in the process as well as reducing the number of potential errors. In this paper, techniques for the improvement of the requirements expressed in the natural language are revisited. These techniques try to check the requirement quality attributes via lexical and syntactic analysis methods sometimes with generic, and sometimes domain and application specific knowledge bases. © 2018 by IGI Global. All rights reserved.</t>
  </si>
  <si>
    <t>Computer Systems and Software Engineering: Concepts, Methodologies, Tools, and Applications</t>
  </si>
  <si>
    <t>10.4018/978-1-5225-3923-0.ch033</t>
  </si>
  <si>
    <t>https://www.scopus.com/inward/record.uri?eid=2-s2.0-85041595661&amp;doi=10.4018%2f978-1-5225-3923-0.ch033&amp;partnerID=40&amp;md5=18f756769ab3a2dd022be99a76d4b1bc</t>
  </si>
  <si>
    <t>Yilmaz A.E.; Yilmaz I.B.</t>
  </si>
  <si>
    <t>Yilmaz, A. Egemen (55638847900); Yilmaz, I. Berk (36783601700)</t>
  </si>
  <si>
    <t>55638847900; 36783601700</t>
  </si>
  <si>
    <t>Natural language processing techniques in requirements engineering</t>
  </si>
  <si>
    <t>Requirement analysis is the very first and crucial step in the software development processes. Stating the requirements in a clear manner, not only eases the following steps in the process, but also reduces the number of potential errors. In this chapter, techniques for the improvement of the requirements expressed in the natural language are revisited. These techniques try to check the requirement quality attributes via lexical and syntactic analysis methods sometimes with generic, and sometimes domain and application specific knowledge bases. © 2011, IGI Global.</t>
  </si>
  <si>
    <t>Knowledge Engineering for Software Development Life Cycles: Support Technologies and Applications</t>
  </si>
  <si>
    <t>10.4018/978-1-60960-509-4.ch002</t>
  </si>
  <si>
    <t>https://www.scopus.com/inward/record.uri?eid=2-s2.0-84898586578&amp;doi=10.4018%2f978-1-60960-509-4.ch002&amp;partnerID=40&amp;md5=78901d9d23cee3da3e7d60aa9989468b</t>
  </si>
  <si>
    <t>Zaki-Ismail A.; Osama M.; Abdelrazek M.; Grundy J.; Ibrahim A.</t>
  </si>
  <si>
    <t>Zaki-Ismail, Aya (57220061393); Osama, Mohamed (57220054046); Abdelrazek, Mohamed (56080446200); Grundy, John (7102156137); Ibrahim, Amani (51461588300)</t>
  </si>
  <si>
    <t>57220061393; 57220054046; 56080446200; 7102156137; 51461588300</t>
  </si>
  <si>
    <t>ARF: Automatic Requirements Formalisation Tool</t>
  </si>
  <si>
    <t>Formal verification techniques enable the detection of complex quality issues within system specifications. However, the majority of system requirements are usually specified in natural language (NL). Manual formalisation of NL requirements is an error-prone and labour-intensive process requiring strong mathematical expertise, and can be infeasible for large numbers of requirements. Existing automatic formalisation techniques usually support heavily constrained natural language relying on requirement boilerplates or templates. In this paper, we introduce ARF: Automatic Requirements Formalisation Tool. ARF can automatically transform free-format natural language requirements into temporal logic based formal notations. This is achieved through two steps: 1) extraction of key requirement attributes into an intermediate representation (RCM: Requirement Capturing Model), and 2) transformation rules that convert requirements from the RCM format to formal notations.  © 2021 IEEE.</t>
  </si>
  <si>
    <t>10.1109/RE51729.2021.00060</t>
  </si>
  <si>
    <t>https://www.scopus.com/inward/record.uri?eid=2-s2.0-85123207416&amp;doi=10.1109%2fRE51729.2021.00060&amp;partnerID=40&amp;md5=7eab04396607347c04259a0968dae2a2</t>
  </si>
  <si>
    <t>Zhang L.; Ouyang L.; Qin J.</t>
  </si>
  <si>
    <t>Zhang, Li (58519610700); Ouyang, Liubo (8240598500); Qin, Jiahao (58921500800)</t>
  </si>
  <si>
    <t>58519610700; 8240598500; 58921500800</t>
  </si>
  <si>
    <t>Automatic Detection Method for Software Requirements Text with Language Processing Model</t>
  </si>
  <si>
    <t>Requirements analysis plays a crucial role in the process of software development. However, due to many factors such as the dichotomy of natural language, requirement texts often present diverse defects, which may lead to anomalies and functional deviations in software systems. In order to solve the above challenges, our study proposes a deep learning-based defect detection method for requirement text, which utilizes deep learning text classification techniques, fully integrates the characteristics of requirement text defects, and designs two defect detection classification models, TextCNN and BERT, for comparative training and performance evaluation based on the construction of a defective text dataset, and constructs a deep learning neural network based on BERT suitable for requirement text defect detection. Experimental results show that the method achieves more than 90% accuracy in defect detection, effectively makes up for the shortcomings of traditional manual review, and significantly improves the efficiency of software development and the quality of requirement text. © 2023 IEEE.</t>
  </si>
  <si>
    <t>2023 6th International Conference on Software Engineering and Computer Science, CSECS 2023</t>
  </si>
  <si>
    <t>10.1109/CSECS60003.2023.10428155</t>
  </si>
  <si>
    <t>https://www.scopus.com/inward/record.uri?eid=2-s2.0-85186770491&amp;doi=10.1109%2fCSECS60003.2023.10428155&amp;partnerID=40&amp;md5=873e0261d1b40f3eb3949b696fed4fab</t>
  </si>
  <si>
    <t>Zhao L.; Alhoshan W.; Ferrari A.; Letsholo K.J.; Ajagbe M.A.; Chioasca E.-V.; Batista-Navarro R.T.</t>
  </si>
  <si>
    <t>Zhao, Liping (55493558700); Alhoshan, Waad (57204733123); Ferrari, Alessio (55765001561); Letsholo, Keletso J. (55303766500); Ajagbe, Muideen A. (57219732414); Chioasca, Erol-Valeriu (24831606200); Batista-Navarro, Riza T. (36447490700)</t>
  </si>
  <si>
    <t>55493558700; 57204733123; 55765001561; 55303766500; 57219732414; 24831606200; 36447490700</t>
  </si>
  <si>
    <t>Natural Language Processing for Requirements Engineering</t>
  </si>
  <si>
    <t>Natural Language Processing for Requirements Engineering (NLP4RE) is an area of research and development that seeks to apply natural language processing (NLP) techniques, tools, and resources to the requirements engineering (RE) process, to support human analysts to carry out various linguistic analysis tasks on textual requirements documents, such as detecting language issues, identifying key domain concepts, and establishing requirements traceability links. This article reports on a mapping study that surveys the landscape of NLP4RE research to provide a holistic understanding of the field. Following the guidance of systematic review, the mapping study is directed by five research questions, cutting across five aspects of NLP4RE research, concerning the state of the literature, the state of empirical research, the research focus, the state of tool development, and the usage of NLP technologies. Our main results are as follows: (i) we identify a total of 404 primary studies relevant to NLP4RE, which were published over the past 36 years and from 170 different venues; (ii) most of these studies (67.08%) are solution proposals, assessed by a laboratory experiment or an example application, while only a small percentage (7%) are assessed in industrial settings; (iii) a large proportion of the studies (42.70%) focus on the requirements analysis phase, with quality defect detection as their central task and requirements specification as their commonly processed document type; (iv) 130 NLP4RE tools (i.e., RE specific NLP tools) are extracted from these studies, but only 17 of them (13.08%) are available for download; (v) 231 different NLP technologies are also identified, comprising 140 NLP techniques, 66 NLP tools, and 25 NLP resources, but most of them-particularly those novel NLP techniques and specialized tools-are used infrequently; by contrast, commonly used NLP technologies are traditional analysis techniques (e.g., POS tagging and tokenization), general-purpose tools (e.g., Stanford CoreNLP and GATE) and generic language lexicons (WordNet and British National Corpus). The mapping study not only provides a collection of the literature in NLP4RE but also, more importantly, establishes a structure to frame the existing literature through categorization, synthesis and conceptualization of the main theoretical concepts and relationships that encompass both RE and NLP aspects. Our work thus produces a conceptual framework of NLP4RE. The framework is used to identify research gaps and directions, highlight technology transfer needs, and encourage more synergies between the RE community, the NLP one, and the software and systems practitioners. Our results can be used as a starting point to frame future studies according to a well-defined terminology and can be expanded as new technologies and novel solutions emerge. © 2021 ACM.</t>
  </si>
  <si>
    <t>ACM Computing Surveys</t>
  </si>
  <si>
    <t>54</t>
  </si>
  <si>
    <t>3444689</t>
  </si>
  <si>
    <t>10.1145/3444689</t>
  </si>
  <si>
    <t>https://www.scopus.com/inward/record.uri?eid=2-s2.0-85108113667&amp;doi=10.1145%2f3444689&amp;partnerID=40&amp;md5=62a3994ab75f9df0537e2de3e9c6905a</t>
  </si>
  <si>
    <t>Review</t>
  </si>
  <si>
    <t>Virvou M.; Tsihrintzis G.A.</t>
  </si>
  <si>
    <t>Virvou, Maria (7003569675); Tsihrintzis, George A. (7003361233)</t>
  </si>
  <si>
    <t>7003569675; 7003361233</t>
  </si>
  <si>
    <t>Artificial Intelligence Chatbots and Social Robots in Education: FEPER Framework for Efficiency, Pedagogical and Ethical Requirements</t>
  </si>
  <si>
    <t>Artificial Intelligence (AI) chatbots and social robots, when incorporated into educational settings, have the potential to significantly transform the learning experience, particularly by providing more personalised, one-on-one attention to students. However, deploying such technology in classrooms also presents challenges. These include unresolved issues related to human-AI interaction, pedagogy and theories, human oversight, data privacy, transparency, accuracy and trust. This paper explores the development of a comprehensive framework aimed at enhancing the efficiency, pedagogical effectiveness, and ethical use of AI-driven educational tools, focusing on social robots and chatbots. The framework addresses important factors such as interaction quality, requirements engineering strategies, and the alignment of AI functionalities with educational goals. It also examines ethical concerns, including data security, user transparency, and trustworthiness. By reviewing recent literature on social robots and chatbots and incorporating emerging ethical considerations alongside long-standing educational objectives, this research aims at establishing a holistic framework, FEPER, of best practices and requirements. The findings offer valuable insights for educators, policymakers, and developers aiming to create more dynamic, personalised, and ethical educational environments using AI technology. © 2024 IEEE.</t>
  </si>
  <si>
    <t>15th International Conference on Information, Intelligence, Systems and Applications, IISA 2024</t>
  </si>
  <si>
    <t>10.1109/IISA62523.2024.10786710</t>
  </si>
  <si>
    <t>https://www.scopus.com/inward/record.uri?eid=2-s2.0-85215821826&amp;doi=10.1109%2fIISA62523.2024.10786710&amp;partnerID=40&amp;md5=99c75f74907ca4f71f71f736ada74ad1</t>
  </si>
  <si>
    <t>Sami M.A.; Waseem M.; Zhang Z.; Rasheed Z.; Systä K.; Abrahamsson P.</t>
  </si>
  <si>
    <t>Sami, Malik Abdul (58637639700); Waseem, Muhammad (57189504629); Zhang, Zheying (56068626800); Rasheed, Zeeshan (59264927700); Systä, Kari (6506558673); Abrahamsson, Pekka (7006011356)</t>
  </si>
  <si>
    <t>58637639700; 57189504629; 56068626800; 59264927700; 6506558673; 7006011356</t>
  </si>
  <si>
    <t>Early Results of an AI Multiagent System for Requirements Elicitation and Analysis</t>
  </si>
  <si>
    <t>In agile software development, user stories capture requirements from the user’s perspective, emphasizing their needs and each feature’s value. Writing concise and quality user stories is necessary for guiding software development. Alongside user story generation, prioritizing these requirements ensures that the most important features are developed first, maximizing project value. This study explores the use of Large Language Models (LLMs) to automate the process of user story generation, quality assessment, and prioritization. We implemented a multi-agent system using Generative Pre-trained Transformers (GPT), specifically GPT-3.5 and GPT-4o, to generate and prioritize user stories from the initial project description. Our experiments on a real-world project demonstrate that GPT-3.5 handled user story generation well, achieving a higher semantic similarity score comnpared to the GPT-4o. Both models showed consistent performance in prioritizing requirements, effectively identifying the core features of the application. These early results indicate that LLMs have significant potential for automating requirements analysis, particularly generating and prioritizing user stories. © The Author(s), under exclusive license to Springer Nature Switzerland AG 2025.</t>
  </si>
  <si>
    <t xml:space="preserve">Lecture Notes in Computer Science (including subseries Lecture Notes in Artificial Intelligence and Lecture Notes in Bioinformatics) </t>
  </si>
  <si>
    <t>15452 LNCS</t>
  </si>
  <si>
    <t>10.1007/978-3-031-78386-9_20</t>
  </si>
  <si>
    <t>https://www.scopus.com/inward/record.uri?eid=2-s2.0-85211913043&amp;doi=10.1007%2f978-3-031-78386-9_20&amp;partnerID=40&amp;md5=209db9aea14c5f3568e69302aeb3d845</t>
  </si>
  <si>
    <t>Poth A.; Rrjolli O.; Arcuri A.</t>
  </si>
  <si>
    <t>Poth, Alexander (57207597845); Rrjolli, Olsi (57889770900); Arcuri, Andrea (23097099900)</t>
  </si>
  <si>
    <t>57207597845; 57889770900; 23097099900</t>
  </si>
  <si>
    <t>Testing is an important task within software development. To write test cases and integrate them into an automated test suite requires a significant amount of work. Given a set of requirements and specifications of a software, testing is needed to verify its correctness. When done manually, it is an expensive and error prone task. To facilitate such work, automated test-case generation via tools could be useful. Test-case generation can be facilitated by deterministic algorithm-driven approaches or non-deterministic approaches such as with AI (e.g., evolutionary and LLM). The different approaches come with their strengths and weaknesses, which must be considered when integrating these approaches into a product test procedure in industry. Several novel testing techniques and tools have been developed in academia and industry, but how effective they are and how to integrate them in real-world large industrial scenarios is still unclear. In this paper, a systematic approach is presented to evaluate test-case generation methodologies and integrate them into a scalable enterprise setup. The specific context is black-box testing of REST APIs, based on their OpenAPI schemas. The aim is to facilitate IT product development and service delivery. The proposed Technology Adoption Performance Evaluation (TAPE) approach is evaluated by a case study within the Group IT of Volkswagen AG. We evaluated existing tools such as OpenAPI Generator, EvoMaster and StarCoder which are built on different technologies. Our results show that these tools are of benefit for test engineers to facilitate test-case specification and design within the Group IT of Volkswagen AG. © The Author(s) 2024.</t>
  </si>
  <si>
    <t>10.1007/s10515-024-00477-2</t>
  </si>
  <si>
    <t>https://www.scopus.com/inward/record.uri?eid=2-s2.0-85211119965&amp;doi=10.1007%2fs10515-024-00477-2&amp;partnerID=40&amp;md5=2e90ff188de38cd38412eceacc5bc71f</t>
  </si>
  <si>
    <t>14h International Symposium on Business Modeling and Software Design, BMSD 2024</t>
  </si>
  <si>
    <t>The proceedings contain 20 papers. The special focus in this conference is on Business Modeling and Software Design. The topics include: From Value Streams and Capability Maps to Protocol Models and Back; a Method to Align Business Capability Maps and Enterprise Data Models; Assigning Declarative Semantics to Some UML Activity Diagrams and BPMN Diagrams; A Systematic Approach to Derive Conceptual Models from BPMN Models; an Analysis of Kinds of Skills and Knowledge in Information System Development; VR-SDLC: A Context-Enhanced Life Cycle Visualization of Software-or-Systems Development in Virtual Reality; smart Contracts as Data Quality Consensus Enforcers in Data Markets; from Mutualism to Amensalism: A Case Study of Blockchain and Digital Identity Wallets; A Review on Privacy and Monetization Aspects Within BCI and XR-BCI Ecosystems; researching Multi-Site Artificial Neural Networks’ Activation Rates and Activation Cycles; reproducibility of Firmware Analysis: An Empirical Study; roles of Natural Language Generation for Requirements Engineering; developing Functional Specifications of an Information System a Personal Overview; context Awareness and External Factors; managing Multi-site Artificial Neural Networks’ Activation Rates and Activation Cycles: Experiments on Cross-Enterprise, Multi-site Deep Learning Systems; software Architecture for Object Detection in Images Based on Color Features with Integrated Artificial Intelligence; Challenges in Geolocation for Logistics Delivery: A Case Study on the Accuracy in Bulgaria of Google Maps Directions API; Understanding SBOMs in Real-World Systems – A Practical DevOps/SecOps Perspective.</t>
  </si>
  <si>
    <t>523 LNBIP</t>
  </si>
  <si>
    <t>https://www.scopus.com/inward/record.uri?eid=2-s2.0-85200340807&amp;partnerID=40&amp;md5=6008ac1a1aba3af84d96eb85ae32bb3f</t>
  </si>
  <si>
    <t>Brockenbrough A.; Salinas D.</t>
  </si>
  <si>
    <t>Brockenbrough, Allan (59335426000); Salinas, Dominic (59335927200)</t>
  </si>
  <si>
    <t>59335426000; 59335927200</t>
  </si>
  <si>
    <t>Using Generative AI to Create User Stories in the Software Engineering Classroom</t>
  </si>
  <si>
    <t>A user story is used in agile methodology to describe functionality that is valuable to the user and may include criteria to determine if the developer has completed the story. This study investigates undergraduate computer science students using ChatGPT to create user stories from user feedback. The study compares aspects of the user stories created by students using ChatGPT with those not using ChatGPT. Are user stories written by students with AI assistance of higher or lower quality? How does the time spent writing the user story change with the use of ChatGPT? We evaluate student user stories using a modified INVEST story rating system. Evaluated user story properties include structure, independence, value, testability, and grammar. The results show that ChatGPT-assisted students produce higher-quality user stories than unassisted students. However, using ChatGPT to write user stories does not guarantee high quality. ChatGPT can fail to recognize dependencies between user feedback and create structurally incorrect user stories. We see a need for students to be trained in effectively using this tool by carefully examining AI-assisted output and making revisions.  © 2024 IEEE.</t>
  </si>
  <si>
    <t>Software Engineering Education Conference, Proceedings</t>
  </si>
  <si>
    <t>10.1109/CSEET62301.2024.10662994</t>
  </si>
  <si>
    <t>https://www.scopus.com/inward/record.uri?eid=2-s2.0-85204488803&amp;doi=10.1109%2fCSEET62301.2024.10662994&amp;partnerID=40&amp;md5=1e60569c6f42920173cea8eae759eb91</t>
  </si>
  <si>
    <t>Manrique-Losada B.; Moreira F.; Cadavid E.J.</t>
  </si>
  <si>
    <t>Manrique-Losada, Bell (55258422300); Moreira, Fernando (8649758400); Cadavid, Eidher Julián (59145496000)</t>
  </si>
  <si>
    <t>55258422300; 8649758400; 59145496000</t>
  </si>
  <si>
    <t>NLP in Requirements Processing: A Content Analysis Based Systematic Literature Mapping</t>
  </si>
  <si>
    <t>As a result of the evolution of agile methodologies in the software development industry, there are currently various applications of Natural Language Processing techniques, models, and tools to classify, extract, and analyze documents within the stages of the software development process. However, their utility has been relatively unexplored in relation to the processing of user stories, such as the most widely used technique for capturing and specifying requirements in the last decade. This article presents a content analysis based on a systematic literature mapping on the application of natural language processing in user stories, following Petersen’s methodological proposal. The search methodology is based on obtaining relevant articles from Dimensions, ScienceDirect, IEEE, and Scopus. Initially, 483 articles published between 2018 and 2022 were identified, and inclusion and exclusion criteria were applied, filtering down to 125 articles for review. Finally, a quality assessment was conducted, resulting in 57 articles relevant. Analyzing these primary studies, findings are identified, and current/future lines of work are proposed as contributions to this field of knowledge. © The Author(s), under exclusive license to Springer Nature Switzerland AG 2024.</t>
  </si>
  <si>
    <t>990 LNNS</t>
  </si>
  <si>
    <t>10.1007/978-3-031-60328-0_24</t>
  </si>
  <si>
    <t>https://www.scopus.com/inward/record.uri?eid=2-s2.0-85194278531&amp;doi=10.1007%2f978-3-031-60328-0_24&amp;partnerID=40&amp;md5=eed8f75ed68bb37182779d908cb09902</t>
  </si>
  <si>
    <t>Proceedings - 32nd IEEE International Requirements Engineering Conference, RE 2024</t>
  </si>
  <si>
    <t>The proceedings contain 59 papers. The topics discussed include: how do practitioners reason about security requirements? an interview study; automating requirements review in the automotive sector: a tailored ai approach; explainable AI: a diverse stakeholder perspective; uncovering patterns in users’ ethical concerns about software; GPT-powered elicitation interview script generator for requirements engineering training; a tool for automatically identifying semantic conflicts in user stories by combining NLP and BERT model; non-functional requirements discovery and quality assurance using goal model for earthquake warning system in operation; digital process twins for interleaving requirements elicitation and design of cyber-physical systems; and using LLMs in software requirements specifications: an empirical evaluation.</t>
  </si>
  <si>
    <t>https://www.scopus.com/inward/record.uri?eid=2-s2.0-85202719226&amp;partnerID=40&amp;md5=df48c32d85f938d62b98ebce8a35f378</t>
  </si>
  <si>
    <t>17th International Conference on the Quality of Information and Communications Technology, QUATIC 2024</t>
  </si>
  <si>
    <t>The proceedings contain 34 papers. The special focus in this conference is on Quality of Information and Communications Technology. The topics include: RSUTT: Robust Search Using T-Way Testing; exploring Image Similarity-Based Splitting Techniques in Automotive Perception Systems; a Meta-model for Documenting Conversational Requirements in Chatbots; do Modern Systems Require New Quality Dimensions?; mutation Testing of Smart Contracts As a Service; Conceptualization of Multi-user Collaborative GUI-Testing for Web Applications; towards Generating Executable Metamorphic Relations Using Large Language Models; exploring Browser Automation: A Comparative Study of Selenium, Cypress, Puppeteer, and Playwright; improving Model-Based Testing Through Interactive Validation, Evaluation and Reconstruction of Test Cases; a Controlled Experiment on the Energy Efficiency of the Source Code Generated by Code Llama; electron vs. Web: A Comparative Analysis of Energy and Performance in Communication Apps; On the Energy Consumption of CPython; Self-adaptation for Sustainable Software and Its Application in Current Approaches - An SLR; a New Metric of Adaptivity for Self-adaptive Systems; classification of Crowd-Based Software Requirements via Unsupervised Learning; supporting Q&amp;A Processes in Requirements Elicitation: Bad Smell Detection and Version Control; goal Model Extraction from User Stories Using Large Language Models; digitalization Impact Evaluation Model: A Case Study; Improving the Quality of Self-service in an IT Service Provider Organization: A Case Study; understanding How Power Distance Affects Agile Organizations; AI in GUI-Based Software Testing: Insights from a Survey with Industrial Practitioners; a Preliminary Interview Study on Developers’ Perceptions of Code Smell Detection in Industry; a Rapid Review on Graph-Based Learning Vulnerability Detection; towards the Use of Domain Knowledge to Enhance Transformer-Based Vulnerability Detection; Black-Box Reconstruction Attacks on LLMs: A Preliminary Study in Code Summarization; do Static Analysis Tools Improve Awareness and Attitude Toward Secure Software Development?; a User-Centric Privacy Control Framework for Decentralized IoT Platforms; towards Cyber-Physical-Ethical Systems.</t>
  </si>
  <si>
    <t>2178 CCIS</t>
  </si>
  <si>
    <t>https://www.scopus.com/inward/record.uri?eid=2-s2.0-85204649289&amp;partnerID=40&amp;md5=009bdddac34bf0bd211193d3c625ec8b</t>
  </si>
  <si>
    <t>31st European Conference on Systems, Software and Services Process Improvement, EuroSPI 2024</t>
  </si>
  <si>
    <t>The proceedings contain 55 papers. The special focus in this conference is on Systems, Software and Services Process Improvement. The topics include: Sleepless in the Code: Exploring the Relationship Between Occupational Anxiety and Sleep Patterns in the Software Industry; how to Explain Artificial Intelligence to Humans: Learning from Quality Function Deployment; large Language Models for Software Engineering: A Systematic Mapping Study; REFIoT: A Framework to Combat Requirements Engineering in IoT Applications and Systems; Using Data Augmentation to Support AI-Based Requirements Evaluation in Large-Scale Projects; artificial Intelligence-Enabled Medical Device Standards: A Multidisciplinary Literature Review; toward the Development of a Method for Identifying Problems and Providing Strategies to Reduce Them in Software Development Teams; investigating Systems Modernisation: Approaches, Challenges and Risks; Analysing the Role of Generative AI in Software Engineering - Results from an MLR; Virtual Emergency Warnings via C-ITS – An Interdisciplinary Approach; AI-Driven Test Flow Generation from Semi-formal Functional Safety Requirements; Understanding the Implications: Critical Path Analysis vs Dependent Failure Analysis in ISO 26262 Safety Methodology; Towards the Development of a Data Security Risk Management Framework for Medical Device Software AI Models; towards an Integrated Cybersecurity Framework for Small and Medium Enterprises; Situation Analysis for Railway Safety: Adapting SOTIF for Passive Crossings; leveraging Digital Twins for Smart Hydropower: A Pathway to Industry 4.0; A Proposal for ISO24089 Audit Methodology Before Type Approvals: Interface with Automotive SPICE® PAM4.0; A Proposal for Enhancing IEC 61508 Methodology for the β-Factor Estimation; Consistency for More Than One TARA and Security Element Out of Context Experiences.</t>
  </si>
  <si>
    <t>2180 CCIS</t>
  </si>
  <si>
    <t>https://www.scopus.com/inward/record.uri?eid=2-s2.0-85204521269&amp;partnerID=40&amp;md5=69b9cc98a5012983be0ea801909b07d4</t>
  </si>
  <si>
    <t>23rd International Conference on Business Informatics Research, BIR 2024</t>
  </si>
  <si>
    <t>The proceedings contain 16 papers. The special focus in this conference is on Business Informatics Research. The topics include: LLM-Assistance for Quality Control of LLM Output; unlocking Viewer Insights in Linear Television: A Machine Learning Approach; Comparison of AI-Based Document Classification Platforms; towards Model-driven Enhancement of Safety in Healthcare Robot Interactions; modelling of Organisational Rules in Complex Adaptive Systems: a Systematic Mapping Study; towards Method Support for Variability Modelling in Enterprise Architecture Management; cross-section of Business Intelligence Projects: Information Systems Success Perspective; incorporating Ethical Aspects in Information Systems Requirements Engineering; suitability of Business Process Modeling Methods for Requirements Elicitation; software Architectures and the Use of Knowledge Graphs to Support Their Design; Technical Debt – Insights Into a Manufacturing SME Case Study; discovery Rules for Depicting Tacit Knowledge Usage and Management in Fractal Enterprise Models; DDIs-Graph: an Approach to Identify Drug-Drug Interactions and Recommend Alternative Drugs; exploring the Information Flow and the Grounding of Digital Product Passports Using the Work-Oriented Approach, an Industrial Case Study.</t>
  </si>
  <si>
    <t>529 LNBIP</t>
  </si>
  <si>
    <t>https://www.scopus.com/inward/record.uri?eid=2-s2.0-85204518939&amp;partnerID=40&amp;md5=54ae1a595341f7a2927f6f9fc58f9481</t>
  </si>
  <si>
    <t>Maathuis C.; Alpar G.; Bromuri S.</t>
  </si>
  <si>
    <t>Maathuis, Clara (57193679249); Alpar, Greg (55098765600); Bromuri, Stefano (24343201900)</t>
  </si>
  <si>
    <t>57193679249; 55098765600; 24343201900</t>
  </si>
  <si>
    <t>Empowering Diversity by Building Inclusive Software Engineering Projects with Large Language Models</t>
  </si>
  <si>
    <t>The integration of emerging AI technologies, particularly Large Language Models (LLMs), is fundamentally reshaping the landscape of software engineering. LLMs offer a wide array of capabilities that can enhance various aspects of software development, including design assistance, automated code analysis and synthesis, and testing. Consequently, their integration into software engineering practices holds the potential to greatly improve efficiency and code quality, marking a notable paradigm shift towards the creation of more intelligent and adaptive systems. This allows the definition of an extended perspective when establishing requirements for building software engineering solutions by incorporating evidence from literature resources and practice. By synthesizing requirements and evidence from scholarly and practitioner sources using LLMs, software engineers can ensure that their solutions are not only technically sound but also align with best practices in fostering social norms and values like inclusivity. Adopting such an approach supports the creation of responsible and inclusive educational software that caters to diverse learning needs and promotes equitable access to educational resources. Moreover, by using LLMs to inform decision-making throughout the software development lifecycle, software engineers can iteratively refine and enhance their solutions based on emerging research findings, thereby ensuring continuous improvement in fostering inclusive educational environments. Hence, this research aims to develop a novel evidence-based software engineering method informed by insights from scientific literature. As a use case, we design and implement a dyslexia-oriented educational software application that supports children in learning to read, guided by this new methodological approach. © Proceedings of the 4th International Conference on AI Research, ICAIR 2024.</t>
  </si>
  <si>
    <t>Proceedings of the 4th International Conference on AI Research, ICAIR 2024</t>
  </si>
  <si>
    <t>https://www.scopus.com/inward/record.uri?eid=2-s2.0-85215668175&amp;partnerID=40&amp;md5=19a1e3f00878e058328f11732f718f16</t>
  </si>
  <si>
    <t>Großer K.; Rukavitsyna M.; Jürjens J.</t>
  </si>
  <si>
    <t>Großer, Katharina (57428820100); Rukavitsyna, Marina (58653506100); Jürjens, Jan (6602757070)</t>
  </si>
  <si>
    <t>57428820100; 58653506100; 6602757070</t>
  </si>
  <si>
    <t>A Comparative Evaluation of Requirement Template Systems (Summary)</t>
  </si>
  <si>
    <t>Our publication at the 31th International Requirements Engineering Conference 2023 concerns the multiple semi-formal syntax templates for natural language requirements, that foster to reduce ambiguity while preserving readability. Yet, existing studies on their effectiveness do not allow to systematically investigate quality benefits and compare different notations. We strive for a comparative benchmark and evaluation of template systems to support practitioners in selecting template systems and enable researchers to work on pinpoint improvements and domain-specific adaptions. We conduct a comparative experiment with a control group of free-text requirements and treatment groups of their variants following different templates. We compare effects on metrics systematically derived from quality guidelines. We present a benchmark consisting of a systematically derived metric suite over seven relevant quality categories and a dataset of 1764 requirements, comprising 249 free-text forms from five projects and variants in five template systems. We evaluate effects in comparison to free text. Except for one template system, all have solely positive effects in all categories. The proposed benchmark enables the identification of the relative strengths and weaknesses of different template systems. However, overall effect sizes are relatively similar. Yet, the results show that templates can generally improve quality compared to free text. © 2024 Gesellschaft fur Informatik (GI). All rights reserved.</t>
  </si>
  <si>
    <t>P-343</t>
  </si>
  <si>
    <t>10.18420/sw2024_10</t>
  </si>
  <si>
    <t>https://www.scopus.com/inward/record.uri?eid=2-s2.0-85213951053&amp;doi=10.18420%2fsw2024_10&amp;partnerID=40&amp;md5=6437925e26c677aa618befd729ae197d</t>
  </si>
  <si>
    <t>Sharma N.; Sharma A.</t>
  </si>
  <si>
    <t>Sharma, Naimish (59230726300); Sharma, Arpit (59096558700)</t>
  </si>
  <si>
    <t>59230726300; 59096558700</t>
  </si>
  <si>
    <t>10.1007/978-3-031-70245-7_17</t>
  </si>
  <si>
    <t>https://www.scopus.com/inward/record.uri?eid=2-s2.0-85204555032&amp;doi=10.1007%2f978-3-031-70245-7_17&amp;partnerID=40&amp;md5=57b5a8f5caeab12f88a0d71334840caf</t>
  </si>
  <si>
    <t>Tufek N.; Thuluva A.S.; Just V.P.; Ekaputra F.J.; Bandyopadhyay T.; Sabou M.; Hanbury A.</t>
  </si>
  <si>
    <t>Tufek, Nilay (57203004752); Thuluva, Aparna Saissre (56410861500); Just, Valentin Philipp (59589982300); Ekaputra, Fajar J. (55626029300); Bandyopadhyay, Tathagata (59584976500); Sabou, Marta (14042331100); Hanbury, Allan (6602434666)</t>
  </si>
  <si>
    <t>57203004752; 56410861500; 59589982300; 55626029300; 59584976500; 14042331100; 6602434666</t>
  </si>
  <si>
    <t>Validating Semantic Artifacts with Large Language Models</t>
  </si>
  <si>
    <t>15344 LNCS</t>
  </si>
  <si>
    <t>10.1007/978-3-031-78952-6_9</t>
  </si>
  <si>
    <t>https://www.scopus.com/inward/record.uri?eid=2-s2.0-85218443416&amp;doi=10.1007%2f978-3-031-78952-6_9&amp;partnerID=40&amp;md5=6e6a1103979d5379cfd0d485935557fa</t>
  </si>
  <si>
    <t>25th International Conference on Agile Software Development, XP 2024</t>
  </si>
  <si>
    <t>The proceedings contain 12 papers. The special focus in this conference is on Agile Software Development. The topics include: Coordination in Agile Product Areas: A Case Study from a Large FinTech Organization; software Product Management in Large-Scale Agile; Investigating Effort Estimation in a Large-Scale Agile ERP Transformation Program; the Current State of Operationalizing Value by Dutch Product Owners in Agile Software Development; impact of the Kanban Maturity Model on a Team’s Agile Transformation: Tripling Throughput and Elevating Quality in Three Months; LLM-Based Agents for Automating the Enhancement of User Story Quality: An Early Report; comparing Stability and Sustainability in Agile Systems; onboarding for an Agile Software Development Company; Exploring Human-AI Collaboration in Agile: Customised LLM Meeting Assistants; the Role of Team Composition in Agile Software Development Education: A Gendered Perspective.</t>
  </si>
  <si>
    <t>512 LNBIP</t>
  </si>
  <si>
    <t>https://www.scopus.com/inward/record.uri?eid=2-s2.0-85197248959&amp;partnerID=40&amp;md5=0d584a4b4be1185b1914033a4dafbdd2</t>
  </si>
  <si>
    <t>Xuan Z.; Wang T.; Wang C.; Li T.</t>
  </si>
  <si>
    <t>Xuan, Zhen (59307422600); Wang, Tianci (57930123100); Wang, Chunhui (57200387605); Li, Tong (56226319700)</t>
  </si>
  <si>
    <t>59307422600; 57930123100; 57200387605; 56226319700</t>
  </si>
  <si>
    <t>A Tool for Automatically Identifying Semantic Conflicts in User Stories by Combining NLP and BERT Model</t>
  </si>
  <si>
    <t>In agile software development, user stories are provided by different stakeholders, and there may be semantic conflicts between them. It takes a lot of time and manpower to identify semantic conflicts from a large number of user stories, and the identification effect is not ideal. This paper proposes a semantic conflict identifying tool. The tool mainly includes two parts: one is to identify whether there are syntax problems or ambiguity problems in each user story, and the other is to identify whether there are semantic problems between user stories. The tool combines the NLP and BERT model for improving the syntactic and semantic quality of user stories through feedback and interaction. Our preliminary results on 9060 user stories show an F1-Score of 92%. A demo video of this tool is available at https://youtu.be/EGYyI9RclRc.  © 2024 IEEE.</t>
  </si>
  <si>
    <t>10.1109/RE59067.2024.00057</t>
  </si>
  <si>
    <t>https://www.scopus.com/inward/record.uri?eid=2-s2.0-85202760476&amp;doi=10.1109%2fRE59067.2024.00057&amp;partnerID=40&amp;md5=9fefe3db695acae6bf676d65d0181ec1</t>
  </si>
  <si>
    <t>Yin H.; Mohammed H.; Boyapati S.</t>
  </si>
  <si>
    <t>Yin, Hang (59660684500); Mohammed, Hamza (59661239200); Boyapati, Sai (58368793100)</t>
  </si>
  <si>
    <t>59660684500; 59661239200; 58368793100</t>
  </si>
  <si>
    <t>The rapidly evolving field of Artificial Intelligence (AI)-assisted software testing has predominantly focused on automated test code generation, with limited research exploring the realm of automated test case generation from user stories requirements. This paper presents a comprehensive empirical study on harnessing pre-trained Large Language Models (LLMs) for generating concrete test cases from natural language requirements given in user stories. We investigate the efficacy of various prompting and alignment techniques, including prompt chaining, few-shot instructions, and agency-based approaches, to facilitate secure on-premises deployment. By integrating our learnings with an on-premises model setup, wherein we deploy a RoPE scaled 4-bit quantized LLaMA 3 70B Instruct model, optionally augmented with LoRA adapters trained on QA datasets, we demonstrate that this approach yields more accurate and consistent test cases despite video random-access memory (VRAM) constraints, thereby maintaining the security benefits of an on-premises deployment.  © 2024 IEEE.</t>
  </si>
  <si>
    <t>International Conference on Intelligent Informatics and BioMedical Sciences, ICIIBMS</t>
  </si>
  <si>
    <t>10.1109/ICIIBMS62405.2024.10792720</t>
  </si>
  <si>
    <t>https://www.scopus.com/inward/record.uri?eid=2-s2.0-85219213235&amp;doi=10.1109%2fICIIBMS62405.2024.10792720&amp;partnerID=40&amp;md5=f5d77ac352a91eb15692d0a8fe74cb0c</t>
  </si>
  <si>
    <t>Wei B.</t>
  </si>
  <si>
    <t>Wei, Bingyang (57188979574)</t>
  </si>
  <si>
    <t>Requirements are All You Need: From Requirements to Code with LLMs</t>
  </si>
  <si>
    <t>10.1109/RE59067.2024.00049</t>
  </si>
  <si>
    <t>https://www.scopus.com/inward/record.uri?eid=2-s2.0-85202706646&amp;doi=10.1109%2fRE59067.2024.00049&amp;partnerID=40&amp;md5=2397641bfe4b4e34a2edb3ddda92010d</t>
  </si>
  <si>
    <t>Norheim J.J.; Rebentisch E.</t>
  </si>
  <si>
    <t>Norheim, Johannes J. (57191970925); Rebentisch, Eric (6701767898)</t>
  </si>
  <si>
    <t>57191970925; 6701767898</t>
  </si>
  <si>
    <t>Structuring Natural Language Requirements with Large Language Models</t>
  </si>
  <si>
    <t>Proceedings - 32nd IEEE International Requirements Engineering Conference Workshops, REW 2024</t>
  </si>
  <si>
    <t>10.1109/REW61692.2024.00013</t>
  </si>
  <si>
    <t>https://www.scopus.com/inward/record.uri?eid=2-s2.0-85203107747&amp;doi=10.1109%2fREW61692.2024.00013&amp;partnerID=40&amp;md5=18502d182f23c7478fb9434510e9f1be</t>
  </si>
  <si>
    <t>Hasso H.; Fischer-Starcke B.; Geppert H.</t>
  </si>
  <si>
    <t>Hasso, Hussein (57195134454); Fischer-Starcke, Bettina (35731330300); Geppert, Hanna (24280985300)</t>
  </si>
  <si>
    <t>57195134454; 35731330300; 24280985300</t>
  </si>
  <si>
    <t>Quest-RE QUestion Generation and Exploration STrategy for Requirements Engineering</t>
  </si>
  <si>
    <t>10.1109/REW61692.2024.00006</t>
  </si>
  <si>
    <t>https://www.scopus.com/inward/record.uri?eid=2-s2.0-85203105440&amp;doi=10.1109%2fREW61692.2024.00006&amp;partnerID=40&amp;md5=2672e6d4b43544922cb65c51790945a3</t>
  </si>
  <si>
    <t>De Bari D.; Garaccione G.; Coppola R.; Torchiano M.; Ardito L.</t>
  </si>
  <si>
    <t>De Bari, Daniele (59449522100); Garaccione, Giacomo (57986675000); Coppola, Riccardo (57191261885); Torchiano, Marco (6602571197); Ardito, Luca (36184897700)</t>
  </si>
  <si>
    <t>59449522100; 57986675000; 57191261885; 6602571197; 36184897700</t>
  </si>
  <si>
    <t>10.1145/3674805.3690741</t>
  </si>
  <si>
    <t>https://www.scopus.com/inward/record.uri?eid=2-s2.0-85210562834&amp;doi=10.1145%2f3674805.3690741&amp;partnerID=40&amp;md5=d2bb748aa2d84f87f4c16b18e765487d</t>
  </si>
  <si>
    <t>Izhar R.; Bhatti S.N.; Alharthi S.A.</t>
  </si>
  <si>
    <t>Izhar, Rahat (59548518900); Bhatti, Shahid N. (57218296467); Alharthi, Sultan A. (57191966992)</t>
  </si>
  <si>
    <t>59548518900; 57218296467; 57191966992</t>
  </si>
  <si>
    <t>Bridging Precision and Complexity: A Novel Machine Learning Approach for Ambiguity Detection in Software Requirements</t>
  </si>
  <si>
    <r>
      <t xml:space="preserve">Ambiguity in software requirements is a significant challenge as it often leads to misunderstandings, implementation errors, and costly project delays. This research proposes a </t>
    </r>
    <r>
      <rPr>
        <b/>
        <sz val="11"/>
        <color rgb="FF000000"/>
        <rFont val="Aptos Narrow"/>
        <family val="2"/>
        <scheme val="minor"/>
      </rPr>
      <t xml:space="preserve">hybrid framework that combines rule-based techniques with machine learning to identify ambiguity in software requirements with precision and efficiency. </t>
    </r>
    <r>
      <rPr>
        <sz val="11"/>
        <color rgb="FF000000"/>
        <rFont val="Aptos Narrow"/>
        <family val="2"/>
        <scheme val="minor"/>
      </rPr>
      <t>The framework begins with a rule-based model that systematically detects ambiguities using a carefully prepared list of ambiguous phrases. The analysis utilizes a dataset of 1,553 software requirements drawn from diverse project domains. To capture more intricate ambiguities that traditional rule-based systems might miss, the framework integrates</t>
    </r>
    <r>
      <rPr>
        <b/>
        <sz val="11"/>
        <color rgb="FF000000"/>
        <rFont val="Aptos Narrow"/>
        <family val="2"/>
        <scheme val="minor"/>
      </rPr>
      <t xml:space="preserve"> TF-IDF vectorization and a Random Forest classifier, enhancing the precision and coverage of classification</t>
    </r>
    <r>
      <rPr>
        <sz val="11"/>
        <color rgb="FF000000"/>
        <rFont val="Aptos Narrow"/>
        <family val="2"/>
        <scheme val="minor"/>
      </rPr>
      <t>. In addition, clustering analysis identifies patterns to provide deeper insights into ambiguous requirements, while sentiment analysis explores the relationship between ambiguity and the emotional tone of requirements. Together, these analyses offer a broader understanding of ambiguity trends and stakeholder perceptions. The framework's performance is validated using standard evaluation metrics, achieving an accuracy of 97%, precision of 97%, recall of 89%, and an F1-score of 92%, significantly surpassing traditional rule-based methodologies. This research advances automatic ambiguity detection by delivering a flexible and interpretable solution. The proposed approach enhances the clarity and quality of software requirements, strengthening requirements engineering practices and supporting more effective software development. © 2013 IEEE.</t>
    </r>
  </si>
  <si>
    <t>10.1109/ACCESS.2025.3529943</t>
  </si>
  <si>
    <t>https://www.scopus.com/inward/record.uri?eid=2-s2.0-85215224310&amp;doi=10.1109%2fACCESS.2025.3529943&amp;partnerID=40&amp;md5=e8aa54284b92be37243559c0a3798df0</t>
  </si>
  <si>
    <t>Arora C.; Aydemir F.B.; Frattini J.</t>
  </si>
  <si>
    <t>Arora, Chetan (55848706400); Aydemir, Fatma Basak (55880322200); Frattini, Julian (57220116066)</t>
  </si>
  <si>
    <t>55848706400; 55880322200; 57220116066</t>
  </si>
  <si>
    <t>AIRE 2024: 11th International Workshop on Artificial Intelligence and Requirements Engineering</t>
  </si>
  <si>
    <t>Artificial intelligence (AI) and Requirements Engineering (RE) intersect in innovative and transformative ways, reshaping how we approach technology development today [1]. On the one hand, AI techniques, e.g., NLP, enhance RE processes by automating the extraction and analysis of requirements, increasing quality, accuracy and efficiency in translating human needs into technical specifications [2]. On the other hand, RE plays a crucial role in developing AI systems themselves; it ensures that AI technologies are designed with clear, well-defined requirements that align with ethical standards and practical user needs [1]. This symbiotic relationship not only advances the capabilities of AI but also ensures that the developed systems are human-centric, reliable and trustworthy [3]. AIRE workshop aims to explore this symbiotic relation to identify complex RE problems that could benefit from applying AI techniques and addressing RE for AI challenges. The 2024 workshop edition received 21 submissions, with each submission independently reviewed by at least three program committee members. The final program consisted of nine papers (seven regular research papers and two short papers) and one lightning talk. The workshop took place on June 25th, 2024. The workshop featured a keynote by Jan-Philipp Steghofer with the title 'The proof is in the pudding-Real-world use cases for GenAI for Requirements Engineers.', and a hands-on session on generative AI in RE. We are very grateful to the Program Committee members and authors of the submissions for their hard work and dedication in putting together this program. We thank you all for your participation in AIRE'24.  © 2024 IEEE.</t>
  </si>
  <si>
    <t>10.1109/REW61692.2024.00005</t>
  </si>
  <si>
    <t>https://www.scopus.com/inward/record.uri?eid=2-s2.0-85203104080&amp;doi=10.1109%2fREW61692.2024.00005&amp;partnerID=40&amp;md5=ba65bea8228d764da692568160a3f305</t>
  </si>
  <si>
    <t>Zhang Z.; Rayhan M.; Herda T.; Goisauf M.; Abrahamsson P.</t>
  </si>
  <si>
    <t>Zhang, Zheying (56068626800); Rayhan, Maruf (58847727900); Herda, Tomas (58678912100); Goisauf, Manuel (58967441200); Abrahamsson, Pekka (7006011356)</t>
  </si>
  <si>
    <t>56068626800; 58847727900; 58678912100; 58967441200; 7006011356</t>
  </si>
  <si>
    <t>LLM-Based Agents for Automating the Enhancement of User Story Quality: An Early Report</t>
  </si>
  <si>
    <t>In agile software development, maintaining high-quality user stories is crucial, but also challenging. This study explores the application of large language models (LLMs) to improve the quality of user stories within the agile teams of Austrian Post Group IT. We developed an Autonomous LLM-based Agent System (ALAS) and evaluated its impact on user story quality with 11 participants from six agile teams. Our findings reveal the potential of LLMs in improving user story quality, provide a practical example, and lay the foundation for future research into the broad application of LLMs in a variety of industry settings.  © The Author(s) 2024.</t>
  </si>
  <si>
    <t>10.1007/978-3-031-61154-4_8</t>
  </si>
  <si>
    <t>https://www.scopus.com/inward/record.uri?eid=2-s2.0-85197230809&amp;doi=10.1007%2f978-3-031-61154-4_8&amp;partnerID=40&amp;md5=71a1dd8761cd72e93fe001a88ab8ec9a</t>
  </si>
  <si>
    <t>Klievtsova N.; Mangler J.; Kampik T.; Rinderle-Ma S.</t>
  </si>
  <si>
    <t>Klievtsova, Nataliia (58262094600); Mangler, Juergen (8553318800); Kampik, Timotheus (56728735900); Rinderle-Ma, Stefanie (24376814800)</t>
  </si>
  <si>
    <t>58262094600; 8553318800; 56728735900; 24376814800</t>
  </si>
  <si>
    <t>Utilizing Process Models in the Requirements Engineering Process Through Model2Text Transformation</t>
  </si>
  <si>
    <t>10.1109/RE59067.2024.00028</t>
  </si>
  <si>
    <t>https://www.scopus.com/inward/record.uri?eid=2-s2.0-85202725174&amp;doi=10.1109%2fRE59067.2024.00028&amp;partnerID=40&amp;md5=5064411d1cc0d9ad6e1adead60b56c8f</t>
  </si>
  <si>
    <t>Lanfear D.; Maleki M.; Banitaan S.</t>
  </si>
  <si>
    <t>Lanfear, Daniel (59390516200); Maleki, Mina (57267614600); Banitaan, Shadi (36766737800)</t>
  </si>
  <si>
    <t>59390516200; 57267614600; 36766737800</t>
  </si>
  <si>
    <t>2244 CCIS</t>
  </si>
  <si>
    <t>10.1007/978-3-031-75201-8_2</t>
  </si>
  <si>
    <t>https://www.scopus.com/inward/record.uri?eid=2-s2.0-85207836315&amp;doi=10.1007%2f978-3-031-75201-8_2&amp;partnerID=40&amp;md5=cf5e7a0efb85a57feddccbe3c8a05e3e</t>
  </si>
  <si>
    <t>Li Y.; Keung J.; Yang Z.; Ma X.; Zhang J.; Liu S.</t>
  </si>
  <si>
    <t>Li, Yishu (57559970000); Keung, Jacky (6603066702); Yang, Zhen (57219595980); Ma, Xiaoxue (57201308328); Zhang, Jingyu (58088347500); Liu, Shuo (59105802600)</t>
  </si>
  <si>
    <t>57559970000; 6603066702; 57219595980; 57201308328; 58088347500; 59105802600</t>
  </si>
  <si>
    <t>SimAC: simulating agile collaboration to generate acceptance criteria in user story elaboration</t>
  </si>
  <si>
    <t>In agile requirements engineering, Generating Acceptance Criteria (GAC) to elaborate user stories plays a pivotal role in the sprint planning phase, which provides a reference for delivering functional solutions. GAC requires extensive collaboration and human involvement. However, the lack of labeled datasets tailored for User Story attached with Acceptance Criteria (US-AC) poses significant challenges for supervised learning techniques attempting to automate this process. Recent advancements in Large Language Models (LLMs) have showcased their remarkable text-generation capabilities, bypassing the need for supervised fine-tuning. Consequently, LLMs offer the potential to overcome the above challenge. Motivated by this, we propose SimAC, a framework leveraging LLMs to simulate agile collaboration, with three distinct role groups: requirement analyst, quality analyst, and others. Initiated by role-based prompts, LLMs act in these roles sequentially, following a create-update-update paradigm in GAC. Owing to the unavailability of ground truths, we invited practitioners to build a gold standard serving as a benchmark to evaluate the completeness and validity of auto-generated US-AC against human-crafted ones. Additionally, we invited eight experienced agile practitioners to evaluate the quality of US-AC using the INVEST framework. The results demonstrate consistent improvements across all tested LLMs, including the LLaMA and GPT-3.5 series. Notably, SimAC significantly enhances the ability of gpt-3.5-turbo in GAC, achieving improvements of 29.48% in completeness and 15.56% in validity, along with the highest INVEST satisfaction score of 3.21/4. Furthermore, this study also provides case studies to illustrate SimAC’s effectiveness and limitations, shedding light on the potential of LLMs in automated agile requirements engineering. © The Author(s), under exclusive licence to Springer Science+Business Media, LLC, part of Springer Nature 2024.</t>
  </si>
  <si>
    <t>10.1007/s10515-024-00448-7</t>
  </si>
  <si>
    <t>https://www.scopus.com/inward/record.uri?eid=2-s2.0-85196531915&amp;doi=10.1007%2fs10515-024-00448-7&amp;partnerID=40&amp;md5=89a3749f146379ff321a3e64a896c71b</t>
  </si>
  <si>
    <t>2179 CCIS</t>
  </si>
  <si>
    <t>https://www.scopus.com/inward/record.uri?eid=2-s2.0-85204634701&amp;partnerID=40&amp;md5=f4f5b7c3efd29aa11546d914d1eebacc</t>
  </si>
  <si>
    <t>Gärtner A.E.; Göhlich D.</t>
  </si>
  <si>
    <t>Gärtner, Alexander Elenga (57866653200); Göhlich, Dietmar (8877872400)</t>
  </si>
  <si>
    <t>57866653200; 8877872400</t>
  </si>
  <si>
    <t>Towards an automatic contradiction detection in requirements engineering</t>
  </si>
  <si>
    <t>This paper presents a novel method for automatic contradiction detection in requirements engineering using a hybrid approach combining formal logic with Large Language Models (LLMs), specifically GPT-3. Our three-phase process detects contradictions by identifying conditionals and pseudo-grammatical elements, and employing LLMs for nuanced contradiction detection. Tested extensively, including on a real-world electric bus project, our method achieved 99% accuracy and 60% recall. This approach significantly reduces manual effort, enhances quality, and is scalable for future advancements. © 2024 Proceedings of the Design Society. All rights reserved.</t>
  </si>
  <si>
    <t>10.1017/pds.2024.207</t>
  </si>
  <si>
    <t>https://www.scopus.com/inward/record.uri?eid=2-s2.0-85194078808&amp;doi=10.1017%2fpds.2024.207&amp;partnerID=40&amp;md5=07d66edb9986459bb75b86598a6a92a2</t>
  </si>
  <si>
    <t>Li S.; Tang H.; Zhi W.; Liu H.; Zhu Q.; Li Y.</t>
  </si>
  <si>
    <t>Li, Songyan (59566081800); Tang, Heng (59566232200); Zhi, Wenxia (59566160000); Liu, Hongjuan (59566384100); Zhu, Qian (59566081900); Li, You (57189050587)</t>
  </si>
  <si>
    <t>59566081800; 59566232200; 59566160000; 59566384100; 59566081900; 57189050587</t>
  </si>
  <si>
    <t>2024 IEEE 4th International Conference on Data Science and Computer Application, ICDSCA 2024</t>
  </si>
  <si>
    <t>10.1109/ICDSCA63855.2024.10859460</t>
  </si>
  <si>
    <t>https://www.scopus.com/inward/record.uri?eid=2-s2.0-85218350712&amp;doi=10.1109%2fICDSCA63855.2024.10859460&amp;partnerID=40&amp;md5=6f89b7d68b78f8ae6f2660ae5201ed2c</t>
  </si>
  <si>
    <t>Biswas C.; Das S.</t>
  </si>
  <si>
    <t>Biswas, Chitrak (59196564800); Das, Souvick (57210790648)</t>
  </si>
  <si>
    <t>59196564800; 57210790648</t>
  </si>
  <si>
    <t>ARIA-QA: AI-agent based requirements inspection and analysis through question answering</t>
  </si>
  <si>
    <t>Due to their predominant use of natural language, requirements are prone to defects like inconsistency and incompleteness. Consequently, quality assurance processes are commonly applied to requirements manually. However, manual execution of these processes can be laborious and may inadvertently overlook critical quality issues due to time and budget constraints. This paper introduces ARIA, an innovative question–answering (QA) approach designed to automate support for stakeholders, including requirements engineers, during the analysis of NL requirements. The ability to ask questions and get immediate answers is extremely useful in many quality assurance situations, especially for incompleteness detection. The challenge of automating the answering of requirements-related questions is considerable, given the potential scope of the search for answers extending beyond the provided requirements specification. To overcome this challenge, ARIA integrates support for mining external domain knowledge resources like internet search results. Evaluation of seven diverse use cases drawn from the PURE dataset demonstrates ARIA’s robustness and applicability across a range of real-life scenarios, highlighting its potential to significantly improve the quality and effectiveness of requirements analysis processes. This work represents one of the initial endeavors to seamlessly blend QA and external domain knowledge, effectively addressing complexities in requirements engineering through a flexible framework designed to readily integrate with evolving, advanced-level Generative LLMs. © The Author(s), under exclusive licence to Springer-Verlag London Ltd., part of Springer Nature 2024.</t>
  </si>
  <si>
    <t>10.1007/s11334-024-00589-8</t>
  </si>
  <si>
    <t>https://www.scopus.com/inward/record.uri?eid=2-s2.0-85206979358&amp;doi=10.1007%2fs11334-024-00589-8&amp;partnerID=40&amp;md5=0259e6ecf64e5189f755fef8116e787d</t>
  </si>
  <si>
    <t>Seifert D.; Jöckel L.; Trendowicz A.; Ciolkowski M.; Honroth T.; Jedlitschka A.</t>
  </si>
  <si>
    <t>Seifert, Daniel (58507845600); Jöckel, Lisa (57194788762); Trendowicz, Adam (12762670400); Ciolkowski, Marcus (6602496789); Honroth, Thorsten (59470392200); Jedlitschka, Andreas (6506534397)</t>
  </si>
  <si>
    <t>58507845600; 57194788762; 12762670400; 6602496789; 59470392200; 6506534397</t>
  </si>
  <si>
    <t>Can Large Language Models (LLMs) Compete with Human Requirements Reviewers? – Replication of an Inspection Experiment on Requirements Documents</t>
  </si>
  <si>
    <t>The use of large language models (LLMs) for software engineering is growing, especially for code - typically to generate code or to detect or fix quality problems. Because requirements are often written in natural language, it seems promising to exploit the capabilities of LLMs to detect requirement problems. We replicated an inspection experiment in which computer science students searched for defects in requirements documents using different reading techniques. In our replication, we used the LLM GPT-4-Turbo instead of students to determine how the model compares to human reviewers. Additionally, we considered GPT-3.5-Turbo, Nous-Hermes-2-Mixtral-8x7B-DPO, and Phi-3-medium-128k-instruct for one research question. We focus on single prompt approaches and avoid more complex approaches to mimic the original study design where students received all the material at once. We had two phases. First, we explored the general feasibility of using LLMs for requirements inspection on a practice document and examined different prompts. Second, we applied selected approaches to two requirements documents and compared the approaches to each other and to human reviewers. The approaches include variations in reading techniques (ad-hoc, perspective-based, checklist-based), LLMs, the instructions, and material provided. We found that LLMs (a) report only a limited number of deficits despite having enough tokens, which (b) do not vary much across prompts. They (c) rarely match the sample solution. © The Author(s), under exclusive license to Springer Nature Switzerland AG 2025.</t>
  </si>
  <si>
    <t>10.1007/978-3-031-78386-9_3</t>
  </si>
  <si>
    <t>https://www.scopus.com/inward/record.uri?eid=2-s2.0-85211963109&amp;doi=10.1007%2f978-3-031-78386-9_3&amp;partnerID=40&amp;md5=d9913ab79b7b798daa8d9ad45df54db7</t>
  </si>
  <si>
    <t>18th European Conference on Software Architecture, ECSA 2024</t>
  </si>
  <si>
    <t>The proceedings contain 42 papers. The special focus in this conference is on Software Architecture. The topics include: Automated Architecture Recovery for Embedded Software Systems: An Industrial Case Study; An Analysis of MLOps Architectures: A Systematic Mapping Study; attention-Based Method for Design Pattern Detection; cause-Effect Chain-Based Diagnosis of Automotive Onboard Energy Systems; architecture-Based Issue Propagation Analysis; MDEPT: Microservices Design Evaluator and Performance Tester; exploring Architectural Evolution in Microservice Systems Using Repository Mining Techniques and Static Code Analysis; temporal Community Detection in Developer Collaboration Networks of Microservice Projects; uncertainty Calculation-as-a-Service: Microservice-Based Metrology Applications; performance Impact of Microservice Granularity Decisions: An Empirical Evaluation Using the Service Weaver Framework; improving Comprehensibility of Event-Driven Microservice Architectures by Graph-Based Visualizations; energy Consumption of IoT Monitoring Software Architectures in the Edge; software Architecture Assessment for Sustainability: A Case Study; modeling and Analyzing Zero Trust Architectures Regarding Performance and Security; towards Secure Management of Edge-Cloud IoT Microservices Using Policy as Code; electric Vehicle Fast-Charging Software: Architectural Considerations Towards Trustworthiness; exploring Architectural Design Decisions in Mailing Lists and Their Traceability to Issue Trackers; Helping Novice Architects to Make Quality Design Decisions Using an LLM-Based Assistant; architecture Decision Records in Practice: An Action Research Study; towards Teamwise Informed Decisions On Microservice Security Smells; automated Quality Concerns Extraction from User Stories and Acceptance Criteria for Early Architectural Decisions; SCATS Framework for Software Integration in Software-Defined Vehicle with Cross-Organizational Agile Teams; the Execution Perspective in Software Architecture Descriptions: A Systematic Mapping; architectural Views: The State of Practice in Open-Source Software Projects.</t>
  </si>
  <si>
    <t>14937 LNCS</t>
  </si>
  <si>
    <t>https://www.scopus.com/inward/record.uri?eid=2-s2.0-85204406874&amp;partnerID=40&amp;md5=77586049d81931ffa886747a0644b228</t>
  </si>
  <si>
    <t>Alam K.A.; Asif H.; Inayat I.; Khan S.-U.-R.</t>
  </si>
  <si>
    <t>Alam, Khubaib Amjad (56504833200); Asif, Hira (59322121100); Inayat, Irum (55248320500); Khan, Saif-Ur-Rehman (55746684000)</t>
  </si>
  <si>
    <t>56504833200; 59322121100; 55248320500; 55746684000</t>
  </si>
  <si>
    <t>14889 LNCS</t>
  </si>
  <si>
    <t>10.1007/978-3-031-70797-1_24</t>
  </si>
  <si>
    <t>https://www.scopus.com/inward/record.uri?eid=2-s2.0-85203588288&amp;doi=10.1007%2f978-3-031-70797-1_24&amp;partnerID=40&amp;md5=7fdb57aae6ebe7c1ef8d8d3d9563c936</t>
  </si>
  <si>
    <t>Lake K.; Flores G.</t>
  </si>
  <si>
    <t>Lake, Kevin (58743646500); Flores, Greg (58743011500)</t>
  </si>
  <si>
    <t>58743646500; 58743011500</t>
  </si>
  <si>
    <t>AUTOTESTCON (Proceedings)</t>
  </si>
  <si>
    <t>10.1109/AUTOTESTCON47465.2024.10697525</t>
  </si>
  <si>
    <t>https://www.scopus.com/inward/record.uri?eid=2-s2.0-85206798999&amp;doi=10.1109%2fAUTOTESTCON47465.2024.10697525&amp;partnerID=40&amp;md5=e68bd50d1761ee56cf5c218702db9763</t>
  </si>
  <si>
    <t>Amna A.R.; Wautelet Y.; Poelmans S.; Heng S.; Poels G.</t>
  </si>
  <si>
    <t>Amna, Anis R. (57195237096); Wautelet, Yves (24605650900); Poelmans, Stephan (6603592997); Heng, Samedi (55303451500); Poels, Geert (6602187929)</t>
  </si>
  <si>
    <t>57195237096; 24605650900; 6603592997; 55303451500; 6602187929</t>
  </si>
  <si>
    <t>The AmbiTRUS framework for identifying potential ambiguity in user stories</t>
  </si>
  <si>
    <t>Ambiguity in natural language-based requirements is a well-known issue, often addressed as a singular problem despite its complexity. Studies reveal that ambiguity in user stories can manifest differently depending on the linguistic levels. This study introduces the ambiguity analysis framework (AmbiTRUS) to address these diverse manifestations by composing quality criteria for 13 types of ambiguity problems, classified across four linguistic levels and linked to four types of requirements quality problems. The proposed quality criteria were selected and adapted from three established user story quality frameworks: the QUS framework, the Agile Requirements Verification framework, and the INVEST framework. To assess the potential effectiveness of AmbiTRUS, a controlled laboratory experiment with advanced MSc students representing novice practitioners of the intended users of the framework. While the experiment did not demonstrate clear effectiveness, users found the framework useful despite its complexity. Insights from the experiment allowed redefining the framework's quality criteria. The main lesson learned from the experiment is the need for tool support in applying AmbiTRUS, particularly using NLP techniques to verify the quality criteria. The development of such an NLP-based tool and the evaluation of AmbiTRUS through a usability study of the tool are the next steps in our research. © 2025 Elsevier Inc.</t>
  </si>
  <si>
    <t>10.1016/j.jss.2025.112357</t>
  </si>
  <si>
    <t>https://www.scopus.com/inward/record.uri?eid=2-s2.0-85216918757&amp;doi=10.1016%2fj.jss.2025.112357&amp;partnerID=40&amp;md5=ec2fb4db892d4191921de03ca54534e1</t>
  </si>
  <si>
    <t>Oğuz E.A.; Küster J.M.</t>
  </si>
  <si>
    <t>Oğuz, Evin Aslan (57217013568); Küster, Jochen M. (14046990500)</t>
  </si>
  <si>
    <t>57217013568; 14046990500</t>
  </si>
  <si>
    <t>Proceedings: MODELS 2024 - ACM/IEEE 27th International Conference on Model Driven Engineering Languages and Systems: Companion Proceedings</t>
  </si>
  <si>
    <t>10.1145/3652620.3687800</t>
  </si>
  <si>
    <t>https://www.scopus.com/inward/record.uri?eid=2-s2.0-85212198160&amp;doi=10.1145%2f3652620.3687800&amp;partnerID=40&amp;md5=5519811e803a2b34ca319ae7d30ba4db</t>
  </si>
  <si>
    <t>Sahu C.K.; Rai V.; Roshan V.</t>
  </si>
  <si>
    <t>Sahu, Chandan Kumar (57216671650); Rai, Vedant (59453874900); Roshan, Vinit (59454268900)</t>
  </si>
  <si>
    <t>57216671650; 59453874900; 59454268900</t>
  </si>
  <si>
    <t>WELL-FORMED QUALITY OF SYSTEM REQUIREMENTS FOR VERIFYING TO ISO 29148-2018: A NATURAL LANGUAGE PROCESSING (NLP) BASED FRAMEWORK AND QUANTITATIVE METRIC</t>
  </si>
  <si>
    <t>2B-2024</t>
  </si>
  <si>
    <t>V02BT02A013</t>
  </si>
  <si>
    <t>10.1115/DETC2024-139583</t>
  </si>
  <si>
    <t>https://www.scopus.com/inward/record.uri?eid=2-s2.0-85210855066&amp;doi=10.1115%2fDETC2024-139583&amp;partnerID=40&amp;md5=93a8e451b0214d53fe793cb80243c3ec</t>
  </si>
  <si>
    <t>Hey T.; Keim J.; Corallo S.</t>
  </si>
  <si>
    <t>Hey, Tobias (57191037997); Keim, Jan (57223054678); Corallo, Sophie (57866146600)</t>
  </si>
  <si>
    <t>57191037997; 57223054678; 57866146600</t>
  </si>
  <si>
    <t>10.1109/RE59067.2024.00024</t>
  </si>
  <si>
    <t>https://www.scopus.com/inward/record.uri?eid=2-s2.0-85201528666&amp;doi=10.1109%2fRE59067.2024.00024&amp;partnerID=40&amp;md5=8af44bb513a419316db85b7870e1b718</t>
  </si>
  <si>
    <t>Chakrawarti R.K.; Sikarwar R.; Sarangi S.K.; Albert Raj S.A.R.; Gupta S.; Sankaran K.S.; Rawat R.</t>
  </si>
  <si>
    <t>Chakrawarti, Rajesh Kumar (55547333500); Sikarwar, Ranjana (56126470200); Sarangi, Sanjaya Kumar (57218596617); Albert Raj, Samson Arun Raj (59549183900); Gupta, Shweta (59549278300); Sankaran, Krishnan Sakthidasan (56441081200); Rawat, Romil (57204108173)</t>
  </si>
  <si>
    <t>55547333500; 56126470200; 57218596617; 59549183900; 59549278300; 56441081200; 57204108173</t>
  </si>
  <si>
    <t>Natural Language Processing for Software Engineering</t>
  </si>
  <si>
    <t>Discover how Natural Language Processing for Software Engineering can transform your understanding of agile development, equipping you with essential tools and insights to enhance software quality and responsiveness in today’s rapidly changing technological landscape. Agile development enhances business responsiveness through continuous software delivery, emphasizing iterative methodologies that produce incremental, usable software. Working software is the main measure of progress, and ongoing customer collaboration is essential. Approaches like Scrum, eXtreme Programming (XP), and Crystal share these principles but differ in focus: Scrum reduces documentation, XP improves software quality and adaptability to changing requirements, and Crystal emphasizes people and interactions while retaining key artifacts. Modifying software systems designed with Object-Oriented Analysis and Design can be costly and time-consuming in rapidly changing environments requiring frequent updates. This book explores how natural language processing can enhance agile methodologies, particularly in requirements engineering. It introduces tools that help developers create, organize, and update documentation throughout the agile project process. © 2025 Scrivener Publishing LLC.</t>
  </si>
  <si>
    <t>10.1002/9781394272464</t>
  </si>
  <si>
    <t>https://www.scopus.com/inward/record.uri?eid=2-s2.0-85217343807&amp;doi=10.1002%2f9781394272464&amp;partnerID=40&amp;md5=e171be88af230d0007bb3f6a9de8c27f</t>
  </si>
  <si>
    <t>Book</t>
  </si>
  <si>
    <t>Aamana; Ain Q.U.; Nisa S.U.</t>
  </si>
  <si>
    <t>Aamana (58493534100); Ain, Qurat Ul (57220388160); Nisa, Sardar Un (59228120000)</t>
  </si>
  <si>
    <t>58493534100; 57220388160; 59228120000</t>
  </si>
  <si>
    <t>This study explores Agile Software Development (ASD) methodologies' effectiveness in achieving quality software products. It investigates the underexplored application of ChatGPT as a Quality Attribute Extractor in ASD. Utilizing hard prompt techniques, ChatGPT extracts quality attributes from user stories without fine-Tuning, enhancing understanding through few-shot and zero-shot Prompt Engineering. This innovative approach bridges NLP advancements with agile methodologies, facilitating efficient quality assessment in software development processes. © 2024 IEEE.</t>
  </si>
  <si>
    <t>Proceedings - 2024 International Conference on Engineering and Computing, ICECT 2024</t>
  </si>
  <si>
    <t>10.1109/ICECT61618.2024.10581306</t>
  </si>
  <si>
    <t>https://www.scopus.com/inward/record.uri?eid=2-s2.0-85199132614&amp;doi=10.1109%2fICECT61618.2024.10581306&amp;partnerID=40&amp;md5=1924eb1e682c56bdd8998fcce6cfdce6</t>
  </si>
  <si>
    <t>https://www.scopus.com/inward/record.uri?eid=2-s2.0-85203606706&amp;partnerID=40&amp;md5=ef4b21398167c0293a9955f2ae836155</t>
  </si>
  <si>
    <t>Großer K.; Ahmadian A.S.; Rukavitsyna M.; Ramadan Q.; Jürjens J.</t>
  </si>
  <si>
    <t>Großer, Katharina (57428820100); Ahmadian, Amir Shayan (56785594600); Rukavitsyna, Marina (58653506100); Ramadan, Qusai (58626143700); Jürjens, Jan (6602757070)</t>
  </si>
  <si>
    <t>57428820100; 56785594600; 58653506100; 58626143700; 6602757070</t>
  </si>
  <si>
    <t>10.1007/s00766-024-00427-0</t>
  </si>
  <si>
    <t>https://www.scopus.com/inward/record.uri?eid=2-s2.0-85201550909&amp;doi=10.1007%2fs00766-024-00427-0&amp;partnerID=40&amp;md5=1ceee9e24dce32529b3fc22a15575668</t>
  </si>
  <si>
    <t>QuASoQ 2024 - Proceedings of the 12th International Workshop on Quantitative Approaches to Software Quality, co-located with the 31st Asia Pacific Software Engineering Conference 2024, APSEC 2024</t>
  </si>
  <si>
    <t>The proceedings contain 8 papers. The topics discussed include: report on the 12th International Workshop on Quantitative Approaches to Software Quality; an automated evaluation approach for Jupyter notebook code cell recommender systems; a report on sentiment report on sentiment analysis of requirements engineering analysis of requirements engineering artifacts created in university course; understanding the occurrences of test smells in open source and industrial software systems: an empirical study on python projects; F-IKOS: an abstract interpretation-based static analyzer for Fortran programs; challenges in adopting LLaMA: an empirical study of discussions on stack overflow; requirements engineering practices model to incorporate 'power' human value; and a novel approach to automated test script generation using large language models for domain-specific languages.</t>
  </si>
  <si>
    <t>https://www.scopus.com/inward/record.uri?eid=2-s2.0-85213712449&amp;partnerID=40&amp;md5=ef8ee3cfcacb29c5c577018842b2e6cf</t>
  </si>
  <si>
    <t>Alturayeif, Nouf (57205764090); Hassine, Jameleddine (9037557900)</t>
  </si>
  <si>
    <t>57205764090; 9037557900</t>
  </si>
  <si>
    <t>10.1007/s10270-024-01254-1</t>
  </si>
  <si>
    <t>https://www.scopus.com/inward/record.uri?eid=2-s2.0-85217364855&amp;doi=10.1007%2fs10270-024-01254-1&amp;partnerID=40&amp;md5=d74294c74f929c3217579c7eb76bf2ee</t>
  </si>
  <si>
    <t>dos Santos S.R.R.; Soares M.S.; Fernandes R.E.S.; Rocha F.G.; dos Santos M.C.B.; Marczak S.</t>
  </si>
  <si>
    <t>dos Santos, Shexmo Richarlison Ribeiro (59230394900); Soares, Michel S. (55804425900); Fernandes, Raiane Eunice S. (57217867917); Rocha, Fabio Gomes (57210931852); dos Santos, Marcos Cesar Barbosa (59531746700); Marczak, Sabrina (24477940900)</t>
  </si>
  <si>
    <t>59230394900; 55804425900; 57217867917; 57210931852; 59531746700; 24477940900</t>
  </si>
  <si>
    <t>In today’s landscape, software manufacturers must deliver quickly and with high quality to remain competitive, especially in the cybersecurity sector. Recognizing this need, we have recently implemented several strategies to accelerate our time to market without compromising quality. We introduced the Proof of Concept (POC) and Proof of Value (POV) stages in the Enterprise Architecture team before initiating inception processes for Minimum Viable Products (MVP) and new features. Initially, these proofs focused only on concept validation. However, since 2023, due to the growing need for rapid and high-quality innovation, POCs/POVs have begun to include robust implementations. We adopted the Behaviour-Driven Development (BDD) approach to define user stories and acceptance criteria, which provided a solid evaluation of POC/POV quality and involved the implementation team from the outset. To prevent products from incurring technical debt, we implemented AutoDevSuite, which uses LLM to generate tests based on user stories and acceptance criteria automatically. We used AutoDevSuite in a POC/POV of a cybersecurity product, and the results showed a significant expansion in test coverage, aligned with the acceptance criteria, demonstrating the tool’s effectiveness in automating and improving test quality. © 2024 Copyright held by the owner/author(s).</t>
  </si>
  <si>
    <t>10.1145/3701625.3701637</t>
  </si>
  <si>
    <t>https://www.scopus.com/inward/record.uri?eid=2-s2.0-85216192131&amp;doi=10.1145%2f3701625.3701637&amp;partnerID=40&amp;md5=7581755540cda22dc947eb3fd08a95cd</t>
  </si>
  <si>
    <t>Fatima E.; Kanwal H.; Khan J.A.; Khan N.D.</t>
  </si>
  <si>
    <t>Fatima, Eman (58754306500); Kanwal, Hira (57218368066); Khan, Javed Ali (57209631963); Khan, Nek Dil (57969393200)</t>
  </si>
  <si>
    <t>58754306500; 57218368066; 57209631963; 57969393200</t>
  </si>
  <si>
    <t>App stores enable users to provide insightful feedback on apps, which developers can use for future software application enhancement and evolution. However, finding user reviews that are valuable and relevant for quality improvement and app enhancement is challenging because of increasing end-user feedback. Also, to date, according to our knowledge, the existing sentiment analysis approaches lack in considering sarcasm and its types when identifying sentiments of end-user reviews for requirements decision-making. Moreover, no work has been reported on detecting sarcasm by analyzing app reviews. This paper proposes an automated approach by detecting sarcasm and its types in end-user reviews and identifying valuable requirements-related information using natural language processing (NLP) and deep learning (DL) algorithms to help software engineers better understand end-user sentiments. For this purpose, we crawled 55,000 end-user comments on seven software apps in the Play Store. Then, a novel sarcasm coding guideline is developed by critically analyzing end-user reviews and recovering frequently used sarcastic types such as Irony, Humor, Flattery, Self-Deprecation, and Passive Aggression. Next, using coding guidelines and the content analysis approach, we annotated the 10,000 user comments and made them parsable for the state-of-the-art DL algorithms. We conducted a survey at two different universities in Pakistan to identify participants’ accuracy in manually identifying sarcasm in the end-user reviews. We developed a ground truth to compare the results of DL algorithms. We then applied various fine-tuned DL classifiers to first detect sarcasm in the end-user feedback and then further classified the sarcastic reviews into more fine-grained sarcastic types. For this, end-user comments are first pre-processed and balanced with the instances in the dataset. Then, feature engineering is applied to fine-tune the DL classifiers. We obtain an average accuracy of 97%, 96%, 96%, 96%, 96%, 86%, and 90% with binary classification and 90%, 91%, 92%, 91%, 91%, 75%, and 89% with CNN, LSTM, BiLSTM, GRU, BiGRU, RNN, and BiRNN classifiers, respectively. Such information would help improve the performance of sentiment analysis approaches to understand better the associated sentiments with the identified new features or issues. © The Author(s), under exclusive licence to Springer Science+Business Media, LLC, part of Springer Nature 2024.</t>
  </si>
  <si>
    <t>10.1007/s10515-024-00468-3</t>
  </si>
  <si>
    <t>https://www.scopus.com/inward/record.uri?eid=2-s2.0-85202164270&amp;doi=10.1007%2fs10515-024-00468-3&amp;partnerID=40&amp;md5=f3b40da8bf10a6b96958bf00e073f9aa</t>
  </si>
  <si>
    <t>Dominguez F.A.M.; Quintana M.A.; Cinco R.R.P.; Borrego G.; Gonzalez-Lopez S.</t>
  </si>
  <si>
    <t>Dominguez, Francisco Antonio Mejia (59145230000); Quintana, Manuel A. (57216874804); Cinco, Ramon Rene Palacio (56469497000); Borrego, Gilberto (57031868500); Gonzalez-Lopez, Samuel (14821978900)</t>
  </si>
  <si>
    <t>59145230000; 57216874804; 56469497000; 57031868500; 14821978900</t>
  </si>
  <si>
    <t>User Story Automation in Software Engineering: Insights from the Literature</t>
  </si>
  <si>
    <t>User stories are widely regarded as an effective method for articulating software requirements, especially within agile development. However, the brevity often encouraged in user stories can lead to a lack of detail, resulting in miscommunication and inefficiencies during development. A significant challenge is the manual extraction of user stories from unstructured text, which is labor-intensive and prone to errors. Automated extraction using Natural Language Processing (NLP) and Machine Learning offers a promising solution. These technologies can identify and extract user roles, actions, and benefits from unstructured text, reducing the reliance on manual intervention and ensuring consistent quality. We conducted a literature review spanning the past 20 years, from 2004 to 2024, on which we identified 77 relevant articles, with only 10 focusing on the extraction of user stories using NLP techniques. These studies emphasize the need for automation in user story extraction to improve the efficiency and accuracy of requirements gathering. The findings highlight a gap in current research regarding automated extraction methods and the importance of addressing this through advanced NLP techniques. Implementing such solutions can transform the handling of user stories, making the requirements elicitation process more efficient and less error-prone, ultimately contributing to the success of agile software development projects.  © 2024 IEEE.</t>
  </si>
  <si>
    <t>Proceedings - 2024 12th International Conference in Software Engineering Research and Innovation, CONISOFT 2024</t>
  </si>
  <si>
    <t>10.1109/CONISOFT63288.2024.00044</t>
  </si>
  <si>
    <t>https://www.scopus.com/inward/record.uri?eid=2-s2.0-85216816224&amp;doi=10.1109%2fCONISOFT63288.2024.00044&amp;partnerID=40&amp;md5=13ef02f8de9e38843ef0a0dab9d5414e</t>
  </si>
  <si>
    <t>Khan N.D.; Khan J.A.; Li J.; Ullah T.; Zhao Q.</t>
  </si>
  <si>
    <t>Khan, Nek Dil (57969393200); Khan, Javed Ali (57209631963); Li, Jianqiang (56494861500); Ullah, Tahir (57218647086); Zhao, Qing (57203285588)</t>
  </si>
  <si>
    <t>57969393200; 57209631963; 56494861500; 57218647086; 57203285588</t>
  </si>
  <si>
    <t>In today’s digital world, app stores have become an essential part of software distribution, providing customers with a wide range of applications and opportunities for software developers to showcase their work. This study elaborates on the importance of end-user feedback for software evolution. However, in the literature, more emphasis has been given to high-rating &amp; popular software apps while ignoring comparatively low-rating apps. Therefore, the proposed approach focuses on end-user reviews collected from 64 low-rated apps representing 14 categories in the Amazon App Store. We critically analyze feedback from low-rating apps and developed a grounded theory to identify various concepts important for software evolution and improving its quality including user interface (UI) and user experience (UX), functionality and features, compatibility and device-specific, performance and stability, customer support and responsiveness and security and privacy issues. Then, using a grounded theory and content analysis approach, a novel research dataset is curated to evaluate the performance of baseline machine learning (ML), and state-of-the-art deep learning (DL) algorithms in automatically classifying end-user feedback into frequently occurring issues. Various natural language processing and feature engineering techniques are utilized for improving and optimizing the performance of ML and DL classifiers. Also, an experimental study comparing various ML and DL algorithms, including multinomial naive Bayes (MNB), logistic regression (LR), random forest (RF), multi-layer perception (MLP), k-nearest neighbors (KNN), AdaBoost, Voting, convolutional neural network (CNN), long short-term memory (LSTM), bidirectional long short term memory (BiLSTM), gated recurrent unit (GRU), bidirectional gated recurrent unit (BiGRU), and recurrent neural network (RNN) classifiers, achieved satisfactory results in classifying end-user feedback to commonly occurring issues. Whereas, MLP, RF, BiGRU, GRU, CNN, LSTM, and Classifiers achieved average accuracies of 94%, 94%, 92%, 91%, 90%, 89%, and 89%, respectively. We employed the SHAP approach to identify the critical features associated with each issue type to enhance the explainability of the classifiers. This research sheds light on areas needing improvement in low-rated apps and opens up new avenues for developers to improve software quality based on user feedback. © (2024) Khan et al.</t>
  </si>
  <si>
    <t>PeerJ Computer Science</t>
  </si>
  <si>
    <t>e2115</t>
  </si>
  <si>
    <t>10.7717/peerj-cs.2115</t>
  </si>
  <si>
    <t>https://www.scopus.com/inward/record.uri?eid=2-s2.0-85199061639&amp;doi=10.7717%2fpeerj-cs.2115&amp;partnerID=40&amp;md5=d777a1726fdf48b2584dc757b05f3d8c</t>
  </si>
  <si>
    <t>Yildirim S.; Malik G.; Cevik M.; Basar A.</t>
  </si>
  <si>
    <t>Yildirim, Savas (23096618000); Malik, Garima (57787653000); Cevik, Mucahit (56251503100); Basar, Ayse (57207576254)</t>
  </si>
  <si>
    <t>23096618000; 57787653000; 56251503100; 57207576254</t>
  </si>
  <si>
    <t>Anaphora Resolution in Software Requirements Engineering: A Comparison of Generative NLP Pipelines and Encoder-Based Models</t>
  </si>
  <si>
    <r>
      <t xml:space="preserve">In the field of requirements engineering (RE), anaphoric ambiguity can negatively impact the quality of requirements and could even threaten the success of a project. If different stakeholders like testers or customers interpret software requirements differently, the system might fail to pass the customer validation stage. On the other hand, a robust </t>
    </r>
    <r>
      <rPr>
        <b/>
        <sz val="11"/>
        <color rgb="FF000000"/>
        <rFont val="Aptos Narrow"/>
        <family val="2"/>
        <scheme val="minor"/>
      </rPr>
      <t>anaphora resolution</t>
    </r>
    <r>
      <rPr>
        <sz val="11"/>
        <color rgb="FF000000"/>
        <rFont val="Aptos Narrow"/>
        <family val="2"/>
        <scheme val="minor"/>
      </rPr>
      <t xml:space="preserve"> model clarifies the writing process of requirements by accurately indicating the pronoun references. In this study, we </t>
    </r>
    <r>
      <rPr>
        <b/>
        <sz val="11"/>
        <color rgb="FF000000"/>
        <rFont val="Aptos Narrow"/>
        <family val="2"/>
        <scheme val="minor"/>
      </rPr>
      <t xml:space="preserve">exploited the power of generative NLP pipelines </t>
    </r>
    <r>
      <rPr>
        <sz val="11"/>
        <color rgb="FF000000"/>
        <rFont val="Aptos Narrow"/>
        <family val="2"/>
        <scheme val="minor"/>
      </rPr>
      <t>and compared their performance with the extractive Question Answering (or sequence labeling) technique. We conducted extensive numerical experiments including text-to-text pipelines and compared them with encoder-based models on two public requirements datasets. Our experiments revealed that a sufficiently large T5 model can yield better results than encoder-based models. We've utilized methods such as Lora to effectively address the complexity of training large language models. Our study indicated that the generative approach outperforms classification-based models for anaphora resolution tasks in Software Requirement texts.  © 2024 IEEE.</t>
    </r>
  </si>
  <si>
    <t>CASCON 2024 Proceedings - 34th Annual International Conference on Collaborative Advances in Software and Computing</t>
  </si>
  <si>
    <t>10.1109/CASCON62161.2024.10837905</t>
  </si>
  <si>
    <t>https://www.scopus.com/inward/record.uri?eid=2-s2.0-85217709897&amp;doi=10.1109%2fCASCON62161.2024.10837905&amp;partnerID=40&amp;md5=7c001495e491aaa631722b4d5d8f4402</t>
  </si>
  <si>
    <t>Lubos S.; Felfernig A.; Tran T.N.T.; Garber D.; El Mansi M.; Erdeniz S.P.; Le V.-M.</t>
  </si>
  <si>
    <t>Lubos, Sebastian (57913057100); Felfernig, Alexander (6701498411); Tran, Thi Ngoc Trang (57195229497); Garber, Damian (58682376900); El Mansi, Merfat (58691866700); Erdeniz, Seda Polat (57195231828); Le, Viet-Man (57209535168)</t>
  </si>
  <si>
    <t>57913057100; 6701498411; 57195229497; 58682376900; 58691866700; 57195231828; 57209535168</t>
  </si>
  <si>
    <t>Leveraging LLMs for the Quality Assurance of Software Requirements</t>
  </si>
  <si>
    <r>
      <t xml:space="preserve">Successful software projects depend on the quality of software requirements. Creating high-quality requirements is a crucial step toward successful software development. Effective support in this area can significantly reduce development costs and enhance the software quality. In this paper, we introduce and assess the capabilities of a </t>
    </r>
    <r>
      <rPr>
        <b/>
        <sz val="11"/>
        <color rgb="FF000000"/>
        <rFont val="Aptos Narrow"/>
        <family val="2"/>
        <scheme val="minor"/>
      </rPr>
      <t>Large Language Model (LLM) to evaluate the quality characteristics of software requirements according to the ISO 29148 standard</t>
    </r>
    <r>
      <rPr>
        <sz val="11"/>
        <color rgb="FF000000"/>
        <rFont val="Aptos Narrow"/>
        <family val="2"/>
        <scheme val="minor"/>
      </rPr>
      <t>. We aim to further improve the support of stakeholders engaged in requirements engineering (RE). We show how an LLM can assess requirements, explain its decision-making process, and examine its capacity to propose improved versions of requirements. We conduct a study with software engineers to validate our approach. Our findings emphasize the potential of LLMs for improving the quality of software requirements.  © 2024 IEEE.</t>
    </r>
  </si>
  <si>
    <t>10.1109/RE59067.2024.00046</t>
  </si>
  <si>
    <t>https://www.scopus.com/inward/record.uri?eid=2-s2.0-85201565838&amp;doi=10.1109%2fRE59067.2024.00046&amp;partnerID=40&amp;md5=e305b4ac27f83a3d6a285d4fa62a1e05</t>
  </si>
  <si>
    <t>Awad E.; Arman N.; Khamayseh F.</t>
  </si>
  <si>
    <t>Awad, Eman (59236497400); Arman, Nabil (6507967324); Khamayseh, Faisal (56676439800)</t>
  </si>
  <si>
    <t>59236497400; 6507967324; 56676439800</t>
  </si>
  <si>
    <t>2101 CCIS</t>
  </si>
  <si>
    <t>10.1007/978-3-031-62843-6_2</t>
  </si>
  <si>
    <t>https://www.scopus.com/inward/record.uri?eid=2-s2.0-85199765520&amp;doi=10.1007%2f978-3-031-62843-6_2&amp;partnerID=40&amp;md5=59338d5c1400888ed254f626ee6b24a2</t>
  </si>
  <si>
    <t>Pereira J.; Lopez J.-M.; Garmendia X.; Azanza M.</t>
  </si>
  <si>
    <t>Pereira, Juanan (55553995300); Lopez, Juan-Miguel (55619312424); Garmendia, Xabier (57208819098); Azanza, Maider (15123854600)</t>
  </si>
  <si>
    <t>55553995300; 55619312424; 57208819098; 15123854600</t>
  </si>
  <si>
    <t>10.1109/CSEET62301.2024.10663055</t>
  </si>
  <si>
    <t>https://www.scopus.com/inward/record.uri?eid=2-s2.0-85204483525&amp;doi=10.1109%2fCSEET62301.2024.10663055&amp;partnerID=40&amp;md5=ad558bc760ab97cbb1f40a08a72877bc</t>
  </si>
  <si>
    <t>Seidel P.; Späthe S.</t>
  </si>
  <si>
    <t>Seidel, Patrick (59198762200); Späthe, Steffen (56313415500)</t>
  </si>
  <si>
    <t>59198762200; 56313415500</t>
  </si>
  <si>
    <t>2109 CCIS</t>
  </si>
  <si>
    <t>10.1007/978-3-031-60433-1_9</t>
  </si>
  <si>
    <t>https://www.scopus.com/inward/record.uri?eid=2-s2.0-85197215253&amp;doi=10.1007%2f978-3-031-60433-1_9&amp;partnerID=40&amp;md5=9897af507dbe860a7f78e19b96fe52f3</t>
  </si>
  <si>
    <t>Ma T.; Han W.; Mu Y.; Wang Z.; Xu X.; Shen J.; Wang J.; Zhang J.</t>
  </si>
  <si>
    <t>Ma, Tianming (59362890800); Han, Wei (59363414000); Mu, Yuzhi (59363414100); Wang, Zihao (59363152900); Xu, Xuefan (59363153000); Shen, Junyu (59362890900); Wang, Jiansheng (59363153100); Zhang, Jian (59363414200)</t>
  </si>
  <si>
    <t>59362890800; 59363414000; 59363414100; 59363152900; 59363153000; 59362890900; 59363153100; 59363414200</t>
  </si>
  <si>
    <t>Humans have long been pursuing Artificial Intelligence (AI) that equals or surpasses the human level, and AI agents are considered a promising vehicle for achieving this goal. Artificially intelligent agents are artificial entities that can perceive the environment, make decisions, and take actions. Agents can solve practical tasks based on existing tools. However, the current tools-based Agents suffer from the drawbacks of incomplete loading of tools libraries and redundancy in tools creation. To address these two issues, we introduce the Tools Augment Agent (TA-Agent) based on the iterative thinking of software engineering. Our automation paradigm uses LLM-based agents to achieve enhancement automation through reasoning and acting recall tools. It is designed to enhance existing tools according to human task requirements without creating new tools as much as possible and to continuously optimize and improve the quality of existing tools through iterations. Finally, the tools-augmented task construction and execution processes are explained in detail through experiments, proving the feasibility of TA-Agent and revealing the possibility of a new paradigm of Agent-driven automation. The code is available at https://github.com/Taurus9527/Tool_Augment. © 2024 IEEE.</t>
  </si>
  <si>
    <t>2024 5th International Conference on Electronic Communication and Artificial Intelligence, ICECAI 2024</t>
  </si>
  <si>
    <t>10.1109/ICECAI62591.2024.10674851</t>
  </si>
  <si>
    <t>https://www.scopus.com/inward/record.uri?eid=2-s2.0-85206100146&amp;doi=10.1109%2fICECAI62591.2024.10674851&amp;partnerID=40&amp;md5=2139dc5b7cfe351ec81c99e9df94913c</t>
  </si>
  <si>
    <t>Zhou Q.; Li J.; Sun J.; Li T.</t>
  </si>
  <si>
    <t>Zhou, Qixiang (57226495532); Li, Jiaxuan (59644092200); Sun, Jiahong (59642972900); Li, Tong (56226319700)</t>
  </si>
  <si>
    <t>57226495532; 59644092200; 59642972900; 56226319700</t>
  </si>
  <si>
    <t>Requirements-driven testing is crucial for validating functionality and maintaining software quality during the early stages of development. It is usually done manually by experienced experts, which is time-consuming and thus affects development efficiency. Although a number of approaches have been proposed to automate the generation of test cases, they primarily rely on (semi-)formalized requirements and thus cannot be applied to user stories and other natural language-based requirements specifications that are more prevalent in practice. In this paper, we propose an incrementally refined multi-stage method that utilizes LLM to generate test cases from user stories automatically. Specifically, we design a systematic process to incrementally refine user stories and transform them into test cases in multiple stages. We compare the consistency, reasonable, testability, coverage, and time consumption of test cases generated by our method to those designed by experts and find that our proposal outperforms baseline methods in terms of all metrics, achieving 4.8 points testability and 86.36% coverage compared to the baseline’s 4.5 points and 44.64%. This indicates a promising direction for improving the practicality and efficiency of test case generation from user stories. © 2024 Knowledge Systems Institute Graduate School. All rights reserved.</t>
  </si>
  <si>
    <t>Proceedings of the International Conference on Software Engineering and Knowledge Engineering, SEKE</t>
  </si>
  <si>
    <t>10.18293/SEKE2024-087</t>
  </si>
  <si>
    <t>https://www.scopus.com/inward/record.uri?eid=2-s2.0-85218639226&amp;doi=10.18293%2fSEKE2024-087&amp;partnerID=40&amp;md5=04d06e2d32e837293fd22efee0e365a2</t>
  </si>
  <si>
    <t>Korfmann R.; Beyersdorffer P.; Münch J.; Kuhrmann M.</t>
  </si>
  <si>
    <t>Korfmann, Robin (59337415900); Beyersdorffer, Patrick (57222297910); Münch, Jürgen (7102005186); Kuhrmann, Marco (14015954200)</t>
  </si>
  <si>
    <t>59337415900; 57222297910; 7102005186; 14015954200</t>
  </si>
  <si>
    <t>Using Data Augmentation to Support AI-Based Requirements Evaluation in Large-Scale Projects</t>
  </si>
  <si>
    <t>10.1007/978-3-031-71139-8_7</t>
  </si>
  <si>
    <t>https://www.scopus.com/inward/record.uri?eid=2-s2.0-85204606335&amp;doi=10.1007%2f978-3-031-71139-8_7&amp;partnerID=40&amp;md5=d162778e4885e0b2e15e1412c7a140ad</t>
  </si>
  <si>
    <t>Elvira T.; Procko T.T.; Ochoa O.</t>
  </si>
  <si>
    <t>Elvira, Timothy (57561184200); Procko, Tyler Thomas (57561957000); Ochoa, Omar (8982210700)</t>
  </si>
  <si>
    <t>57561184200; 57561957000; 8982210700</t>
  </si>
  <si>
    <t>Requirements Elicitation for Machine Learning Applications: A Research Preview</t>
  </si>
  <si>
    <t>The development of software systems is preceded by an important first phase, requirements elicitation, wherein developers establish the intended functionality of a system to be developed in a series of interviews with a customer. These requirements can often be raw, requiring refinement in an iterative process. Traditional software requirements are of the form 'The system shall... ', where each requirement is written to be clear, concise, consistent, complete, testable and traceable through development. Because Machine Learning (ML) is stochastic, or uncertain, in the face of unseen data, ML behavior cannot be precisely defined. As such, it is posited that software requirements specific to ML must delineate a window of acceptable behavior, e.g., a plus/minus value for evaluated model metrics. The provision of such is essential for the quality of future ML software systems, as the current trend of large-scale generative ML has brought about a paradigm of fine-tuning, e.g., of Large Language Models, in which pre-trained large models are taken 'off the shelf' and made fit for very specific purposes. These specific purposes vary with different use cases, but they are effectively undeclared requirements. The present paper discusses requirements elicitation in the context of ML by considering the four-software engineering requirement elicitation techniques: conversational, observational, analytic and synthetic, providing future researchers with insight for eliciting quality ML requirements. © 2024 IEEE.</t>
  </si>
  <si>
    <t>Proceedings - 2024 Conference on AI, Science, Engineering, and Technology, AIxSET 2024</t>
  </si>
  <si>
    <t>10.1109/AIxSET62544.2024.00042</t>
  </si>
  <si>
    <t>https://www.scopus.com/inward/record.uri?eid=2-s2.0-85215075817&amp;doi=10.1109%2fAIxSET62544.2024.00042&amp;partnerID=40&amp;md5=84224a5eaa252b1bfcdf330bd3a6f420</t>
  </si>
  <si>
    <t>Proceedings - 2024 36th International Conference on Software Engineering Education and Training, CSEE and T 2024</t>
  </si>
  <si>
    <t>The proceedings contain 51 papers. The topics discussed include: automated programming exercise generation in the era of large language models; FeedbackPulse: GPT-enabled feedback assistant for software engineering educators; competence-oriented elaboration of software engineering education; mastering the balance between software design qualities; competence-based assessment of programming assignments; Can LLMs facilitate onboarding software developers? an ongoing industrial case study; a survey study on the state of the art of programming exercise generation using large language models; experience report of the AWS+KCL impact accelerator for public sector engagement; and using generative ai to create user stories in the software engineering classroom.</t>
  </si>
  <si>
    <t>https://www.scopus.com/inward/record.uri?eid=2-s2.0-85204445603&amp;partnerID=40&amp;md5=0d4f5bcd5e6895f86e4892632fe31642</t>
  </si>
  <si>
    <t>Airlangga G.</t>
  </si>
  <si>
    <t>Airlangga, Gregorius (57208758481)</t>
  </si>
  <si>
    <t>Journal of Electrical and Computer Engineering</t>
  </si>
  <si>
    <t>10.1155/2024/4955691</t>
  </si>
  <si>
    <t>https://www.scopus.com/inward/record.uri?eid=2-s2.0-85201106080&amp;doi=10.1155%2f2024%2f4955691&amp;partnerID=40&amp;md5=19406c7c2ac86c9be159d7b18afa3efe</t>
  </si>
  <si>
    <t>Mahbub T.; Dghaym D.; Shankarnarayanan A.; Syed T.; Shapsough S.; Zualkernan I.</t>
  </si>
  <si>
    <t>Mahbub, Taslim (57221835310); Dghaym, Dana (57190255215); Shankarnarayanan, Aadhith (59325814700); Syed, Taufiq (59326348000); Shapsough, Salsabeel (57205282588); Zualkernan, Imran (6602818774)</t>
  </si>
  <si>
    <t>57221835310; 57190255215; 59325814700; 59326348000; 57205282588; 6602818774</t>
  </si>
  <si>
    <t>Can GPT-4 Aid in Detecting Ambiguities, Inconsistencies, and Incompleteness in Requirements Analysis? A Comprehensive Case Study</t>
  </si>
  <si>
    <r>
      <t xml:space="preserve">Effective software projects hinge on robust requirements, yet flawed requirements often lead to costly delays and revisions. While tools have been developed to identify defects in Software Requirements Specifications (SRS), the advent of Large Language Models (LLMs) like GPT-4 presents new opportunities for enhancing requirements quality. However, the potential of LLMs in this realm remains largely unexplored, particularly in the context of large-scale industrial documents. To bridge this gap, </t>
    </r>
    <r>
      <rPr>
        <b/>
        <sz val="11"/>
        <color rgb="FF000000"/>
        <rFont val="Aptos Narrow"/>
        <family val="2"/>
        <scheme val="minor"/>
      </rPr>
      <t>we investigate the efficacy of zero-shot GPT-4 in various requirements analysis tasks using an industrial software specification document</t>
    </r>
    <r>
      <rPr>
        <sz val="11"/>
        <color rgb="FF000000"/>
        <rFont val="Aptos Narrow"/>
        <family val="2"/>
        <scheme val="minor"/>
      </rPr>
      <t>. Our study evaluates LLM performance in</t>
    </r>
    <r>
      <rPr>
        <b/>
        <sz val="11"/>
        <color rgb="FF000000"/>
        <rFont val="Aptos Narrow"/>
        <family val="2"/>
        <scheme val="minor"/>
      </rPr>
      <t xml:space="preserve"> detecting defects, such as ambiguities, inconsistencies, and incompleteness, while also analyzing GPT-4's ability to identify issues across version iterations and support technical experts in requirements analysis. </t>
    </r>
    <r>
      <rPr>
        <sz val="11"/>
        <color rgb="FF000000"/>
        <rFont val="Aptos Narrow"/>
        <family val="2"/>
        <scheme val="minor"/>
      </rPr>
      <t>Qualitatively, we identify key limitations of LLMs in defect detection, notably their inability to cross-reference throughout the document and their constrained understanding of specialized contexts. Quantitatively, we find that while LLMs excel in identifying incomplete requirements (precision 0.61), their performance is less impressive in detecting inconsistencies (precision 0.43) and ambiguities (precision 0.39). Although GPT-4 demonstrates promise in automating early defect detection across versions and providing accurate technical answers, our results underscore that they cannot entirely replace human analysts due to their lack of nuanced domain knowledge in a zero-shot setting. Nevertheless, avenues like few-shot learning and complex prompt design offer the potential to enhance LLM precision in defect detection. © 2013 IEEE.</t>
    </r>
  </si>
  <si>
    <t>10.1109/ACCESS.2024.3464242</t>
  </si>
  <si>
    <t>https://www.scopus.com/inward/record.uri?eid=2-s2.0-85204689412&amp;doi=10.1109%2fACCESS.2024.3464242&amp;partnerID=40&amp;md5=2904125aca501b1457d0a7469526b2e4</t>
  </si>
  <si>
    <t>Krishna M.; Gaur B.; Verma A.; Jalote P.</t>
  </si>
  <si>
    <t>Krishna, Madhava (58022495000); Gaur, Bhagesh (59136866800); Verma, Arsh (59136912000); Jalote, Pankaj (59528358600)</t>
  </si>
  <si>
    <t>58022495000; 59136866800; 59136912000; 59528358600</t>
  </si>
  <si>
    <t>10.1109/RE59067.2024.00056</t>
  </si>
  <si>
    <t>https://www.scopus.com/inward/record.uri?eid=2-s2.0-85202706343&amp;doi=10.1109%2fRE59067.2024.00056&amp;partnerID=40&amp;md5=2f428309a8c336f10c23df70e3d874d0</t>
  </si>
  <si>
    <t>Rodriguez Danissa V.; Lawrence K.; Gonzalez J.; Brandfield-Harvey B; Xu L.; Tasneem S.; Levine D. L.; Mann D.</t>
  </si>
  <si>
    <t>Danissa V Rodriguez and Katharine Lawrence and Javier Gonzalez and Beatrix Brandfield-Harvey and Lynn Xu and Sumaiya Tasneem and Defne L Levine and Devin Mann</t>
  </si>
  <si>
    <t>JMIR Human Factors</t>
  </si>
  <si>
    <t>2292-9495</t>
  </si>
  <si>
    <t>https://doi.org/10.2196/52885</t>
  </si>
  <si>
    <t>https://www.sciencedirect.com/org/science/article/pii/S2292949524000245</t>
  </si>
  <si>
    <t>Cheong, H., Ataei, M., Khasahmadi, A.H., Jayaraman, P.K.</t>
  </si>
  <si>
    <t>Hyunmin Cheong and Mohammadmehdi Ataei and Amir Hosein Khasahmadi and Pradeep Kumar Jayaraman</t>
  </si>
  <si>
    <t>e-SimFT: Alignment of Generative Models with Simulation Feedback for Pareto-Front Design Exploration</t>
  </si>
  <si>
    <t>Deep generative models have recently shown success in solving complex engineering design problems where models predict solutions that address the design requirements specified as input. However, there remains a challenge in aligning such models for effective design exploration. For many design problems, finding a solution that meets all the requirements is infeasible. In such a case, engineers prefer to obtain a set of Pareto optimal solutions with respect to those requirements, but uniform sampling of generative models may not yield a useful Pareto front. To address this gap, we introduce a new framework for Pareto-front design exploration with simulation fine-tuned generative models. First, the framework adopts preference alignment methods developed for Large Language Models (LLMs) and showcases the first application in fine-tuning a generative model for engineering design. The important distinction here is that we use a simulator instead of humans to provide accurate and scalable feedback. Next, we propose epsilon-sampling, inspired by the epsilon-constraint method used for Pareto-front generation with classical optimization algorithms, to construct a high-quality Pareto front with the fine-tuned models. Our framework, named e-SimFT, is shown to produce better-quality Pareto fronts than existing multi-objective alignment methods.</t>
  </si>
  <si>
    <t>https://arxiv.org/abs/2502.02628</t>
  </si>
  <si>
    <t>Sherifi, B., Slhoub, K., Nembhard, F.</t>
  </si>
  <si>
    <t>Betim Sherifi and Khaled Slhoub and Fitzroy Nembhard</t>
  </si>
  <si>
    <t>The Potential of LLMs in Automating Software Testing: From Generation to Reporting</t>
  </si>
  <si>
    <t>Having a high quality software is essential in software engineering, which requires robust validation and verification processes during testing activities. Manual testing, while effective, can be time consuming and costly, leading to an increased demand for automated methods. Recent advancements in Large Language Models (LLMs) have significantly influenced software engineering, particularly in areas like requirements analysis, test automation, and debugging. This paper explores an agent-oriented approach to automated software testing, using LLMs to reduce human intervention and enhance testing efficiency. The proposed framework integrates LLMs to generate unit tests, visualize call graphs, and automate test execution and reporting. Evaluations across multiple applications in Python and Java demonstrate the system's high test coverage and efficient operation. This research underscores the potential of LLM-powered agents to streamline software testing workflows while addressing challenges in scalability and accuracy.</t>
  </si>
  <si>
    <t>https://arxiv.org/abs/2501.00217</t>
  </si>
  <si>
    <t>Mahendran, A., Chilambarasan, N.R.</t>
  </si>
  <si>
    <t>Dr. A. Mahendran, Dr. N. R. Chilambarasan</t>
  </si>
  <si>
    <t>AI-Enhanced Test Case Generation and Prioritization Framework Using RNNs and LSTMs in Behavior-Driven Development (BDD)</t>
  </si>
  <si>
    <t>The integration of Artificial Intelligence (AI) with Behavior-Driven Development (BDD) has emerged as a promising approach for enhancing test automation in contemporary software engineering. This paper presents a novel framework that combines Recurrent Neural Networks (RNNs) and Long Short-Term Memory (LSTM) networks to optimize the processes of test case generation, prioritization, and execution. Traditional testing methods often face challenges in adapting to dynamic software environments, whereas the proposed solution incorporates deep learning models to enable a more flexible and real-time approach to software testing. By leveraging RNNs for pattern recognition and LSTMs for managing long-term dependencies, the framework enhances prediction accuracy, accelerates test execution, and improves coverage of edge cases. Additionally, the integration of BDD ensures that the generated tests are aligned with user stories and business requirements, thereby improving test relevance and operational efficiency. The experimental results highlight significant improvements in both the speed and quality of test automation when compared to conventional methods. This integration of AI and BDD is positioned as a transformative advancement in software testing, offering a scalable solution for intelligent, automated test execution in agile development environments. The proposed approach bridges the gap between agile practices and automated testing, providing a foundation for more efficient and adaptive test automation frameworks.</t>
  </si>
  <si>
    <t>https://doi.org/10.21203/rs.3.rs-5620329/v1</t>
  </si>
  <si>
    <t>https://www.researchsquare.com/article/rs-5620329/v1</t>
  </si>
  <si>
    <t>Research Square</t>
  </si>
  <si>
    <t>Summra Saleem and Muhammad Nabeel Asim and Andreas Dengel</t>
  </si>
  <si>
    <t>PassionNet: An Innovative Framework for Duplicate and Conflicting Requirements Identification</t>
  </si>
  <si>
    <t>Early detection and resolution of duplicate and conflicting requirements can significantly enhance project efficiency and overall software quality. Researchers have developed various computational predictors by leveraging Artificial Intelligence (AI) potential to detect duplicate and conflicting requirements. However, these predictors lack in performance and requires more effective approaches to empower software development processes. Following the need of a unique predictor that can accurately identify duplicate and conflicting requirements, this research offers a comprehensive framework that facilitate development of 3 different types of predictive pipelines: language models based, multi-model similarity knowledge-driven and large language models (LLMs) context + multi-model similarity knowledge-driven. Within first type predictive pipelines landscape, framework facilitates conflicting/duplicate requirements identification by leveraging 8 distinct types of LLMs. In second type, framework supports development of predictive pipelines that leverage multi-scale and multi-model similarity knowledge, ranging from traditional similarity computation methods to advanced similarity vectors generated by LLMs. In the third type, the framework synthesizes predictive pipelines by integrating contextual insights from LLMs with multi-model similarity knowledge. Across 6 public benchmark datasets, extensive testing of 760 distinct predictive pipelines demonstrates that hybrid predictive pipelines consistently outperforms other two types predictive pipelines in accurately identifying duplicate and conflicting requirements. This predictive pipeline outperformed existing state-of-the-art predictors performance with an overall performance margin of 13% in terms of F1-score</t>
  </si>
  <si>
    <t>https://arxiv.org/abs/2412.01657</t>
  </si>
  <si>
    <t>Voria, G., Casillo, F., Gravino, C., Catolino, G., Palomba, F.</t>
  </si>
  <si>
    <t>Gianmario Voria and Francesco Casillo and Carmine Gravino and Gemma Catolino and Fabio Palomba</t>
  </si>
  <si>
    <t>RECOVER: Toward the Automatic Requirements Generation from Stakeholders' Conversations</t>
  </si>
  <si>
    <t>Stakeholders' conversations in requirements elicitation meetings contain valuable information, but manually extracting system requirements from these discussions is a time-consuming and labor-intensive task, and there is a risk of errors and the introduction of biases. While current methods assist in summarizing conversations and classifying requirements based on their nature, there is a noticeable lack of approaches capable of both identifying requirements within these conversations and generating corresponding system requirements. These approaches would significantly reduce the burden on requirements engineers, reducing the time and effort required. They would also support the production of accurate and consistent requirements documentation. To address this gap, this paper introduces RECOVER (Requirements EliCitation frOm conVERsations), a novel requirements engineering approach that leverages NLP and foundation models to automatically extract system requirements from stakeholder interactions. The approach is evaluated using a mixed-method research design that combines statistical performance analysis with a user study involving requirements engineers. First, at the conversation turn level, the evaluation measures RECOVER's accuracy in identifying requirements-relevant dialogue and the quality of generated requirements in terms of correctness, completeness, and actionability. Second, at the entire conversation level, the evaluation assesses the overall usefulness and effectiveness of RECOVER in synthesizing comprehensive system requirements from full stakeholder discussions. The evaluation shows promising results regarding the performance of RECOVER, as the generated requirements exhibit satisfactory quality in their correctness, completeness, and actionability. Moreover, the results show the potential usefulness of automating the process of eliciting requirements from conversation.</t>
  </si>
  <si>
    <t>https://arxiv.org/abs/2411.19552</t>
  </si>
  <si>
    <t>Qianou Ma and Weirui Peng and Chenyang Yang and Hua Shen and Kenneth Koedinger and Tongshuang Wu</t>
  </si>
  <si>
    <t>What Should We Engineer in Prompts? Training Humans in Requirement-Driven LLM Use</t>
  </si>
  <si>
    <t>Prompting LLMs for complex tasks (e.g., building a trip advisor chatbot) needs humans to clearly articulate customized requirements (e.g., "start the response with a tl;dr"). However, existing prompt engineering instructions often lack focused training on requirement articulation and instead tend to emphasize increasingly automatable strategies (e.g., tricks like adding role-plays and "think step-by-step"). To address the gap, we introduce Requirement-Oriented Prompt Engineering (ROPE), a paradigm that focuses human attention on generating clear, complete requirements during prompting. We implement ROPE through an assessment and training suite that provides deliberate practice with LLM-generated feedback. In a randomized controlled experiment with 30 novices, ROPE significantly outperforms conventional prompt engineering training (20% vs. 1% gains), a gap that automatic prompt optimization cannot close. Furthermore, we demonstrate a direct correlation between the quality of input requirements and LLM outputs. Our work paves the way to empower more end-users to build complex LLM applications.</t>
  </si>
  <si>
    <t>https://arxiv.org/abs/2409.08775</t>
  </si>
  <si>
    <t>Lubos, Sebastian and Felfernig, Alexander and Tran, Thi Ngoc Trang and Garber, Damian and El Mansi, Merfat and Erdeniz, Seda Polat and Le, Viet-Man</t>
  </si>
  <si>
    <t>Successful software projects depend on the quality of software requirements. Creating high-quality requirements is a crucial step toward successful software development. Effective support in this area can significantly reduce development costs and enhance the software quality. In this paper, we introduce and assess the capabilities of a Large Language Model (LLM) to evaluate the quality characteristics of software requirements according to the ISO 29148 standard. We aim to further improve the support of stakeholders engaged in requirements engineering (RE). We show how an LLM can assess requirements, explain its decision-making process, and examine its capacity to propose improved versions of requirements. We conduct a study with software engineers to validate our approach. Our findings emphasize the potential of LLMs for improving the quality of software requirements.</t>
  </si>
  <si>
    <t>10.1109/re59067.2024.00046</t>
  </si>
  <si>
    <t>http://dx.doi.org/10.1109/RE59067.2024.00046</t>
  </si>
  <si>
    <t>Malik Abdul Sami and Muhammad Waseem and Zheying Zhang and Zeeshan Rasheed and Kari Systä and Pekka Abrahamsson</t>
  </si>
  <si>
    <t>AI based Multiagent Approach for Requirements Elicitation and Analysis</t>
  </si>
  <si>
    <t>Requirements Engineering (RE) plays a pivotal role in software development, encompassing tasks such as requirements elicitation, analysis, specification, and change management. Despite its critical importance, RE faces challenges including communication complexities, early-stage uncertainties, and accurate resource estimation. This study empirically investigates the effectiveness of utilizing Large Language Models (LLMs) to automate requirements analysis tasks. We implemented a multi-agent system that deploys AI models as agents to generate user stories from initial requirements, assess and improve their quality, and prioritize them using a selected technique. In our implementation, we deployed four models, namely GPT-3.5, GPT-4 Omni, LLaMA3-70, and Mixtral-8B, and conducted experiments to analyze requirements on four real-world projects. We evaluated the results by analyzing the semantic similarity and API performance of different models, as well as their effectiveness and efficiency in requirements analysis, gathering users' feedback on their experiences. Preliminary results indicate notable variations in task completion among the models. Mixtral-8B provided the quickest responses, while GPT-3.5 performed exceptionally well when processing complex user stories with a higher similarity score, demonstrating its capability in deriving accurate user stories from project descriptions. Feedback and suggestions from the four project members further corroborate the effectiveness of LLMs in improving and streamlining RE phases.</t>
  </si>
  <si>
    <t>https://arxiv.org/abs/2409.00038</t>
  </si>
  <si>
    <t>Walid Maalej and Volodymyr Biryuk and Jialiang Wei and Fabian Panse</t>
  </si>
  <si>
    <t>On the Automated Processing of User Feedback</t>
  </si>
  <si>
    <t>User feedback is becoming an increasingly important source of information for requirements engineering, user interface design, and software engineering in general. Nowadays, user feedback is largely available and easily accessible in social media, product forums, or app stores. Over the last decade, research has shown that user feedback can help software teams: a) better understand how users are actually using specific product features and components, b) faster identify, reproduce, and fix defects, and b) get inspirations for improvements or new features. However, to tap the full potential of feedback, there are two main challenges that need to be solved. First, software vendors must cope with a large quantity of feedback data, which is hard to manage manually. Second, vendors must also cope with a varying quality of feedback as some items might be uninformative, repetitive, or simply wrong. This chapter summarises and pipelines various data mining, machine learning, and natural language processing techniques, including recent Large Language Models, to cope with the quantity and quality challenges. We guide researchers and practitioners through implementing effective, actionable analysis of user feedback for software and requirements engineering.</t>
  </si>
  <si>
    <t>https://arxiv.org/abs/2407.15519</t>
  </si>
  <si>
    <t>The Ambitrus Framework for Identifying Potential Ambiguity in User Stories</t>
  </si>
  <si>
    <t>Ambiguity in natural language-based requirements is a well-known issue, often addressed as a singular problem despite its complexity. Studies reveal that ambiguity in user stories can manifest differently depending on the linguistic levels.This study introduces the ambiguity analysis framework (AmbiTRUS) to address these diverse manifestations by composing quality criteria for 13 types of ambiguity problems, classified across four linguistic levels and linked to four types of requirements quality problems. The proposed quality criteria were selected and adapted from three established user story quality frameworks: the QUS framework, the Agile Requirements Verification framework, and the INVEST framework.To assess the potential effectiveness of AmbiTRUS, a controlled laboratory experiment with advanced MSc students representing novice practitioners of the intended users of the framework. While the experiment did not demonstrate clear effectiveness, users found the framework useful despite its complexity.Insights from the experiment allowed redefining the framework’s quality criteria. The main lesson learned from the experiment is the need for tool support in applying AmbiTRUS, particularly using NLP techniques to verify the quality criteria. The development of such an NLP-based tool and the evaluation of AmbiTRUS through a usability study of the tool are the next steps in our research.</t>
  </si>
  <si>
    <t>https://papers.ssrn.com/sol3/papers.cfm?abstract_id=4890812</t>
  </si>
  <si>
    <t>SSRN</t>
  </si>
  <si>
    <t>Wei, B.</t>
  </si>
  <si>
    <t>Bingyang Wei</t>
  </si>
  <si>
    <t>The pervasive use of textual formats in the documentation of software requirements presents a great opportunity for applying large language models (LLMs) to software engineering tasks. High-quality software requirements not only enhance the manual software development process but also position organizations to fully harness the potential of the emerging LLMs technology. This paper introduces a tailored LLM for automating the generation of code snippets from well-structured requirements documents. This LLM is augmented with knowledge, heuristics, and instructions that are pertinent to the software development process, requirements analysis, object-oriented design, and test-driven development, effectively emulating the expertise of a seasoned software engineer. We introduce a "Progressive Prompting" method that allows software engineers to engage with this LLM in a stepwise manner. Through this approach, the LLM incrementally tackles software development tasks by interpreting the provided requirements to extract functional requirements, using these to create object-oriented models, and subsequently generating unit tests and code based on the object-oriented designs. We demonstrate the LLM's proficiency in comprehending intricate user requirements and producing robust design and code solutions through a case study focused on the development of a web project. This study underscores the potential of integrating LLMs into the software development workflow to significantly enhance both efficiency and quality. The tailored LLM is available at this https URL.</t>
  </si>
  <si>
    <t>https://arxiv.org/abs/2406.10101</t>
  </si>
  <si>
    <t>Abdul Malik Sami and Zeeshan Rasheed and Muhammad Waseem and Zheying Zhang and Herda Tomas and Pekka Abrahamsson</t>
  </si>
  <si>
    <t>A Tool for Test Case Scenarios Generation Using Large Language Models</t>
  </si>
  <si>
    <t>Large Language Models (LLMs) are widely used in Software Engineering (SE) for various tasks, including generating code, designing and documenting software, adding code comments, reviewing code, and writing test scripts. However, creating test scripts or automating test cases demands test suite documentation that comprehensively covers functional requirements. Such documentation must enable thorough testing within a constrained scope and timeframe, particularly as requirements and user demands evolve. This article centers on generating user requirements as epics and high-level user stories and crafting test case scenarios based on these stories. It introduces a web-based software tool that employs an LLM-based agent and prompt engineering to automate the generation of test case scenarios against user requirements.</t>
  </si>
  <si>
    <t>https://arxiv.org/abs/2406.07021</t>
  </si>
  <si>
    <t>Wu, Jie Jw and Fard, Fatemeh H.</t>
  </si>
  <si>
    <t>HumanEvalComm: Benchmarking the Communication Competence of Code Generation for LLMs and LLM Agent</t>
  </si>
  <si>
    <t>Large language models (LLMs) have significantly improved their ability to perform tasks in the field of code generation. However, there is still a gap between LLMs being capable coders and being top-tier software engineers. Based on the observation that top-level software engineers often ask clarifying questions to reduce ambiguity in both requirements and coding solutions, we argue that the same should be applied to LLMs for code generation tasks. In this work, we conducted an empirical study on the benchmark and analysis of the communication skills of LLMs for code generation. We define communication skills of LLMs as ``being able to ask clarifying questions when the description of the code generation problem has issues''. We created a new benchmark, HumanEvalComm, by modifying problem descriptions according to three issues: inconsistency, ambiguity, incompleteness. We defined new evaluation metrics such as Communication Rate and Good Question Rate, and then experimented on HumanEvalComm with different Code LLMs, and a new LLM agent approach, Okanagan, to identify and ask questions in ambiguous parts from code and descriptions for further refining the generated code. Finally, we discussed evaluation results by comparing Code LLMs and Okanagan with our findings.</t>
  </si>
  <si>
    <t>https://arxiv.org/abs/2406.00215v3</t>
  </si>
  <si>
    <t>User Stories Extraction from Natural Language: Assessing and Improving Llm's Results Accuracy</t>
  </si>
  <si>
    <t>Deep learning models with a significant number of parameters, referred to Large Language Models, demonstrated substantial improvements on multiple tasks, which consequently made them useful and adaptable instruments for a wide range of uses. Although they have not been thoroughly investigated yet, their capabilities also present potential opportunities for software development. Therefore, in this paper, we study the effectiveness of using LLMs for Requirement Engineering, particularly for user stories generation from specifications described in natural language. By objectively evaluating the obtained results quality, the improvement of inappropriate outputs is done via progressive prompts.</t>
  </si>
  <si>
    <t>https://papers.ssrn.com/sol3/papers.cfm?abstract_id=4830008</t>
  </si>
  <si>
    <t>Jin L. C. Guo and Jan-Philipp Steghöfer and Andreas Vogelsang and Jane Cleland-Huang</t>
  </si>
  <si>
    <t>Natural Language Processing for Requirements Traceability</t>
  </si>
  <si>
    <t>Traceability, the ability to trace relevant software artifacts to support reasoning about the quality of the software and its development process, plays a crucial role in requirements and software engineering, particularly for safety-critical systems. In this chapter, we provide a comprehensive overview of the representative tasks in requirement traceability for which natural language processing (NLP) and related techniques have made considerable progress in the past decade. We first present the definition of traceability in the context of requirements and the overall engineering process, as well as other important concepts related to traceability tasks. Then, we discuss two tasks in detail, including trace link recovery and trace link maintenance. We also introduce two other related tasks concerning when trace links are used in practical contexts. For each task, we explain the characteristics of the task, how it can be approached through NLP techniques, and how to design and conduct the experiment to demonstrate the performance of the NLP techniques. We further discuss practical considerations on how to effectively apply NLP techniques and assess their effectiveness regarding the data set collection, the metrics selection, and the role of humans when evaluating the NLP approaches. Overall, this chapter prepares the readers with the fundamental knowledge of designing automated traceability solutions enabled by NLP in practice.</t>
  </si>
  <si>
    <t>https://arxiv.org/abs/2405.10845</t>
  </si>
  <si>
    <t>Mohammed M.A.; Hassine J.; Alshayeb M.</t>
  </si>
  <si>
    <t>GSDetector: a tool for automatic detection of bad smells in GRL goal models</t>
  </si>
  <si>
    <t>Goal models play a significant role in the early stages of the requirements engineering process. These models are subject to quality problems (a.k.a., bad smells) that may disseminate to the later stages of the requirements engineering process and even to the other stages in software development. To avoid this negative impact, it is important to detect and correct these problems as early as possible. However, the manual detection of these smells is generally tedious, cumbersome, and error-prone. In this paper, we report on an Eclipse plugin tool, called GSDetector (GRL Smells Detector), that automates the detection of Goal-oriented Requirements Language (GRL) bad smells. We first introduce and articulate four new GRL-based bad smells. To detect the instances of these smells, a set of metric-based rules is introduced. Factors that affect setting thresholds are also presented and explained to help modelers specify these rules by setting effective thresholds. GSDetector was evaluated using 5 case studies of different sizes that consider the different scenarios in building GRL models. The obtained results show that GSDetector was able to detect all the existing instances of bad smells with respect to the specified thresholds. The manual inspection of these instances revealed that the modelers were giving the system to be developed more attention than the strategic needs of the stakeholder leading to the appearance of these instances. In conclusion, the proposed bad smells and developed tool provide a useful approach to help identify and analyze quality improvement opportunities in GRL models. © 2022, The Author(s), under exclusive licence to Springer-Verlag GmbH Germany, part of Springer Nature.</t>
  </si>
  <si>
    <t>10.1007/s10009-022-00662-2</t>
  </si>
  <si>
    <t>https://www.scopus.com/record/display.uri?eid=2-s2.0-85136031948&amp;origin=reflist&amp;sort=plf-f&amp;src=s&amp;sid=f490a429432bb983136cdf3be5f82806&amp;sot=b&amp;sdt=b&amp;sl=80&amp;s=TITLE-ABS-KEY%28Detection+of+Linguistic+Bad+Smells+in+GRL+Models%3a+An+NLP+Approach%29</t>
  </si>
  <si>
    <t>x</t>
  </si>
  <si>
    <t>Zhao M.; Tao R.; Huang Y.; Shi J.; Qin S.; Yang Y.</t>
  </si>
  <si>
    <t>NL2CTL: Automatic Generation of Formal Requirements Specifications via Large Language Models</t>
  </si>
  <si>
    <t>Reducing the gap between natural language requirements and precise formal specifications is a critical task in requirements engineering. In recent years, requirement engineering is becoming increasingly complex alongside the growing intricacy of system engineering. Most requirements are expressed in natural language, which can be incomplete and ambiguous. However, formal languages with strict semantics can accurately represent certain temporal logic properties and allow for automated verification and analysis. This often limits the application of verification techniques, as writing formal specifications is a manual, error-prone, and time-consuming task. To address this, this paper proposes a framework that leverages Large Language Models (LLMs) to achieve automated conversion of natural language requirements to Computation Tree Logic (CTL). To address the issue of dataset scarcity, we leveraged the interactive and generative capabilities of LLMs. By constructing a random generation algorithm and utilizing prompt engineering, we generated an NL-CTL dataset using LLMs. The generated dataset was then used to fine-tune the T5-Large model, enhancing its generative capacity. To improve generalization, this paper proposes the use of the GPT-3.5 Atomic Proposition (AP) Recognition method, which eliminates the constraints of using the framework across different domains. A series of experimental evaluations showed that the fine-tuned LLM achieved an accuracy of 46.4%, whereas the LLM with few-shot learning using only prompt engineering achieved only 2% accuracy, demonstrating the feasibility of this approach. © The Author(s), under exclusive license to Springer Nature Singapore Pte Ltd. 2024.</t>
  </si>
  <si>
    <t>15394 LNCS</t>
  </si>
  <si>
    <t>10.1007/978-981-96-0617-7_1</t>
  </si>
  <si>
    <t>https://www.scopus.com/inward/record.uri?eid=2-s2.0-85211479011&amp;doi=10.1007%2f978-981-96-0617-7_1&amp;partnerID=40&amp;md5=5d634d87b5800f2f42de2ed095fd36f8</t>
  </si>
  <si>
    <t>Rahman T.; Zhu Y.; Maha L.; Roy C.; Roy B.; Schneider K.</t>
  </si>
  <si>
    <t>Take Loads Off Your Developers: Automated User Story Generation using Large Language Model</t>
  </si>
  <si>
    <t>Software Maintenance and Evolution (SME) is moving fast with the assistance of artificial intelligence (AI), especially Large Language Models (LLM). Researchers have already started automating various activities of the SME workflow. Un-derstanding the requirements for maintenance and development work i.e. Requirements Engineering (RE) is a crucial phase that kicks off the SME workflow through multiple discussions on a proposed scope of work documented in different forms. The RE phase ends with a list of user stories for each unit task and usually created and tracked on a project management tool such as GitHub, Jira, AzurDev, etc. In this research, we collaborated with Bell Mobility to develop a tool 'Geneus' (Generate UserSory) using GPT-4-turbo to automatically create user stories from software requirements documents. Requirements documents are usually long and contain complex information. Since LLMs typically suffer from hallucination when the input is too complex, this paper proposes a new prompting strategy, 'Refine and Thought' (RaT), to mitigate that issue and improve the performance of the LLM in prompts with large and noisy contexts. Along with manual evaluation using RUST (Readability, Understandability, Specificity, Technical-aspects) survey questionnaire, automatic evaluation with BERTScore, and AlignScore evaluation metrics are used to evaluate the results of the 'Geneus' tool. Results show that our method with RaT performs consistently better in most of the cases of interactions compared to the single-shot baseline method. However, the BERTScore and AlignScore test results are not consistent. In the median case, Geneus performs significantly better in all three interactions (requirements specifi-cation, user story details, and test case specifications) according to AlignScorebut it shows slightly low performance in requirements specifications according to BERTScore. Distilling RE documents requires significant time &amp; effort from the senior members of the team through multiple meetings with stakeholders. We believe automating this process will certainly reduce additional loads off the software engineers and increase the ultimate productivity allowing them to utilize their time on other prioritized tasks. © 2024 IEEE.</t>
  </si>
  <si>
    <t>Proceedings - 2024 IEEE International Conference on Software Maintenance and Evolution,  ICSME 2024</t>
  </si>
  <si>
    <t>10.1109/ICSME58944.2024.00082</t>
  </si>
  <si>
    <t>https://www.scopus.com/inward/record.uri?eid=2-s2.0-85215507793&amp;doi=10.1109%2fICSME58944.2024.00082&amp;partnerID=40&amp;md5=b9a8826679b0207766fee281848451ce</t>
  </si>
  <si>
    <t>Software requirements are a description of what the software is expected to do and behave. Specifying requirements in natural language might face difficulties like clarity, inaccuracy, ambiguity, incompleteness, vagueness etc. An indicator of such problems in requirements are technically termed as requirement smells. They need early detection and rapid response to ensure the quality of requirements. However, previous requirement smells detection approaches have scalability and flexibility problems, and poor performance. In addition, there is a gap on prioritizing detected requirement smells to take an appropriate action based on the order. In this study, we address the gaps by developing a Machine Learning (ML) based approach for the classification and prioritization of requirement smells. We have collected 3100 requirements and labeled them by experts. To prioritize requirements smells, we have used requirement smells severity level collected from experts and requirements importance level from Software Requirement Specification (SRS) document. Then, textual requirements were preprocessed using Natural Language Processing (NLP) techniques, and features were extracted using TF-IDF and BOW. We have used 80/20 train-Test split ratio. For both classification and prioritization model building, commonly used classification algorithms LR, NB, SVM, DT, and KNN were applied and their performance is compared. Moreover, we have also used an additional sorting method for prioritizing requirement smells detected from a single project. As a result, LR with TF-IDF achieved highest performance with 94% accuracy for requirement smells classification. For requirement smells prioritization, SVM outperformed other algorithms with 99% accuracy. © 2023 IEEE.</t>
  </si>
  <si>
    <t>Ambiguity in software requirements is a significant challenge as it often leads to misunderstandings, implementation errors, and costly project delays. This research proposes a hybrid framework that combines rule-based techniques with machine learning to identify ambiguity in software requirements with precision and efficiency. The framework begins with a rule-based model that systematically detects ambiguities using a carefully prepared list of ambiguous phrases. The analysis utilizes a dataset of 1,553 software requirements drawn from diverse project domains. To capture more intricate ambiguities that traditional rule-based systems might miss, the framework integrates TF-IDF vectorization and a Random Forest classifier, enhancing the precision and coverage of classification. In addition, clustering analysis identifies patterns to provide deeper insights into ambiguous requirements, while sentiment analysis explores the relationship between ambiguity and the emotional tone of requirements. Together, these analyses offer a broader understanding of ambiguity trends and stakeholder perceptions. The framework's performance is validated using standard evaluation metrics, achieving an accuracy of 97%, precision of 97%, recall of 89%, and an F1-score of 92%, significantly surpassing traditional rule-based methodologies. This research advances automatic ambiguity detection by delivering a flexible and interpretable solution. The proposed approach enhances the clarity and quality of software requirements, strengthening requirements engineering practices and supporting more effective software development. © 2013 IEEE.</t>
  </si>
  <si>
    <t>In the field of requirements engineering (RE), anaphoric ambiguity can negatively impact the quality of requirements and could even threaten the success of a project. If different stakeholders like testers or customers interpret software requirements differently, the system might fail to pass the customer validation stage. On the other hand, a robust anaphora resolution model clarifies the writing process of requirements by accurately indicating the pronoun references. In this study, we exploited the power of generative NLP pipelines and compared their performance with the extractive Question Answering (or sequence labeling) technique. We conducted extensive numerical experiments including text-to-text pipelines and compared them with encoder-based models on two public requirements datasets. Our experiments revealed that a sufficiently large T5 model can yield better results than encoder-based models. We've utilized methods such as Lora to effectively address the complexity of training large language models. Our study indicated that the generative approach outperforms classification-based models for anaphora resolution tasks in Software Requirement texts.  © 2024 IEEE.</t>
  </si>
  <si>
    <t>Successful software projects depend on the quality of software requirements. Creating high-quality requirements is a crucial step toward successful software development. Effective support in this area can significantly reduce development costs and enhance the software quality. In this paper, we introduce and assess the capabilities of a Large Language Model (LLM) to evaluate the quality characteristics of software requirements according to the ISO 29148 standard. We aim to further improve the support of stakeholders engaged in requirements engineering (RE). We show how an LLM can assess requirements, explain its decision-making process, and examine its capacity to propose improved versions of requirements. We conduct a study with software engineers to validate our approach. Our findings emphasize the potential of LLMs for improving the quality of software requirements.  © 2024 IEEE.</t>
  </si>
  <si>
    <t>Effective software projects hinge on robust requirements, yet flawed requirements often lead to costly delays and revisions. While tools have been developed to identify defects in Software Requirements Specifications (SRS), the advent of Large Language Models (LLMs) like GPT-4 presents new opportunities for enhancing requirements quality. However, the potential of LLMs in this realm remains largely unexplored, particularly in the context of large-scale industrial documents. To bridge this gap, we investigate the efficacy of zero-shot GPT-4 in various requirements analysis tasks using an industrial software specification document. Our study evaluates LLM performance in detecting defects, such as ambiguities, inconsistencies, and incompleteness, while also analyzing GPT-4's ability to identify issues across version iterations and support technical experts in requirements analysis. Qualitatively, we identify key limitations of LLMs in defect detection, notably their inability to cross-reference throughout the document and their constrained understanding of specialized contexts. Quantitatively, we find that while LLMs excel in identifying incomplete requirements (precision 0.61), their performance is less impressive in detecting inconsistencies (precision 0.43) and ambiguities (precision 0.39). Although GPT-4 demonstrates promise in automating early defect detection across versions and providing accurate technical answers, our results underscore that they cannot entirely replace human analysts due to their lack of nuanced domain knowledge in a zero-shot setting. Nevertheless, avenues like few-shot learning and complex prompt design offer the potential to enhance LLM precision in defect detection. © 2013 IEEE.</t>
  </si>
  <si>
    <t>Backward</t>
  </si>
  <si>
    <t>Forward</t>
  </si>
  <si>
    <t>Descr-Demo: Type</t>
  </si>
  <si>
    <t>Descr-Demo: Context</t>
  </si>
  <si>
    <t>Experiment</t>
  </si>
  <si>
    <t>academic</t>
  </si>
  <si>
    <t>industrial</t>
  </si>
  <si>
    <t>Theoretical Paper</t>
  </si>
  <si>
    <t>Survey</t>
  </si>
  <si>
    <t>Case Study</t>
  </si>
  <si>
    <t>Xu, X.; Dou, Y.; Qian, L.; Zhang, Z.; Ma, Y.; Tan, Y.</t>
  </si>
  <si>
    <t>A Requirement Quality Assessment Method Based on User Stories</t>
  </si>
  <si>
    <t>Agile development processes based on user stories often face issues such as incomplete, inconsistent, and inaccurate user requirements, which increase the workload of agile development teams and reduce the efficiency of product function development, ultimately resulting in the inability to respond quickly to user requirements. This paper proposes a user requirement quality assessment method based on user stories to address these problems. This method relies on the agile development process, constructs a user requirement quality assessment framework, defines a user story model and a user requirement quality model, develops seven user requirement quality assessment criteria, and designs a user requirement quality assessment process. A data experiment exploring the development of smartphone requirements is used to validate the feasibility and effectiveness of the method. The experimental results demonstrate that the method improves user requirement quality to some extent, providing an automated solution for agile development teams to enhance user requirement quality. © 2023 by the authors.</t>
  </si>
  <si>
    <t>Electronics</t>
  </si>
  <si>
    <t>https://www.mdpi.com/2079-9292/12/10/2155</t>
  </si>
  <si>
    <t>https://www.scopus.com/record/display.uri?eid=2-s2.0-85160573059&amp;origin=resultslist&amp;sort=plf-f&amp;src=s&amp;sot=b&amp;sdt=cl&amp;cluster=scosubjabbr%2C%22COMP%22%2Ct&amp;s=TITLE-ABS-KEY%28A+Requirement+Quality+Assessment+Method+Based+on+User+Stories%29&amp;sessionSearchId=5b2e0cfed7bb94e5223587db1a6a56ba</t>
  </si>
  <si>
    <t>Ramos F.; Costa A.; Perkusich M.; Silva L.; Valadares D.; Neto A.D.S.; Cunha F.; Almeida H.; Perkusich A.,"Ramos, Felipe (57189357937)</t>
  </si>
  <si>
    <t>A Data-Driven Recommendation System for Enhancing Non-Functional Requirements Elicitation in Scrum-Based Projects</t>
  </si>
  <si>
    <t>Context: Agile software development, particularly Scrum, enables teams to manage evolving requirements by emphasizing face-to-face communication and incremental deliveries. Although effective in addressing functional requirements, agile methods often overlook non-functional requirements during the initial stages of software projects, potentially leading to cost overruns on software and hardware and project failures exceeding 60%. Objective: In this article, we introduce a data-driven recommendation system to assist Scrum teams in eliciting NFRs effectively and early in the development lifecycle. Method: Our proposed solution applies the k-nearest neighbors algorithm to recommend non-functional requirements by leveraging historical project data structured through a taxonomy of user stories. We evaluated the system through offline experiments under the cross-validation protocol, utilizing datasets from 13 real-world projects. Results: Our recommendation system achieved an F-measure of up to 79%, demonstrating its ability to provide accurate and context-aware non-functional requirements suggestions. Conclusion: These findings suggest that our solution supports agile teams by automating non-functional requirement elicitation and enhancing decision-making processes, thereby addressing critical gaps in non-functional requirement integration within Scrum-based projects. © 2013 IEEE.</t>
  </si>
  <si>
    <t>10.1109/ACCESS.2025.3548631</t>
  </si>
  <si>
    <t>https://www.scopus.com/record/display.uri?eid=2-s2.0-105001088765&amp;origin=resultslist&amp;sort=plf-f&amp;src=s&amp;sot=b&amp;sdt=b&amp;s=TITLE-ABS-KEY%28A+Data-Driven+Recommendation+System+for+Enhancing+Non-Functional+Requirements+Elicitation+in+Scrum-Based+Projects%29</t>
  </si>
  <si>
    <t>Reviewer Study Results</t>
  </si>
  <si>
    <t>Listed quality aspects and their definitions</t>
  </si>
  <si>
    <t>Source of derivation of the quality aspects</t>
  </si>
  <si>
    <t>Purpose of quality aspects</t>
  </si>
  <si>
    <t>Phase of evaluation of quality aspects</t>
  </si>
  <si>
    <t>Metrics of evaluation of quality aspects</t>
  </si>
  <si>
    <t>Datasets used</t>
  </si>
  <si>
    <t>Size and structure of dataset</t>
  </si>
  <si>
    <t>Type of the dataset</t>
  </si>
  <si>
    <t>Is the data labeled?</t>
  </si>
  <si>
    <t>DL / NLP methods used</t>
  </si>
  <si>
    <t>Method's evaluation approach and metrics</t>
  </si>
  <si>
    <t>Method evaluation results</t>
  </si>
  <si>
    <t>Tool Support</t>
  </si>
  <si>
    <t>Tool Name [Link]</t>
  </si>
  <si>
    <t>Problem: The goal of a software product line is to aid quick and quality delivery of software products, sharing common features. Effectively achieving the above-mentioned goals requires reuse analysis of the product line features. Existing requirements reuse analysis approaches are not focused on recommending product line features, that can be reused to realize new customer requirements. Hypothesis: Given that the customer requirements are linked to product line features' description satisfying them: Then the customer requirements can be clustered based on patterns and similarities, preserving the historic reuse information. New customer requirements can be evaluated against existing customer requirements and reuse of product line features can be recommended. Contributions: We treated the problem of feature reuse analysis as a text classification problem at the requirements-level. We use Natural Language Processing and clustering to recommend reuse of features based on similarities and historic reuse information. The recommendations can be used to realize new customer requirements. © 2020 ACM.</t>
  </si>
  <si>
    <t>no quality aspects listed, goal is to present a variability-aware reuse analysis to identify product line features that can be reused for modified software products by comparing customer requirements and product line features' descriptions.</t>
  </si>
  <si>
    <t>no quality aspects listed</t>
  </si>
  <si>
    <t>Use: requirements are being reused in other product lines</t>
  </si>
  <si>
    <t>Other</t>
  </si>
  <si>
    <t>Controlled Experiment: Different vectorization methods will be compared for their efficiency (time) and effectiveness (precision and recall).
Ground Truth Verification: Existing products with recorded reuse will serve as ground truth to validate the model.
Later on Case Study in the Railway Industry.</t>
  </si>
  <si>
    <t>one project for preliminary evaluation</t>
  </si>
  <si>
    <t>in project: 159 customer requirements reusing 44 distinct PL features. Randomly selected 75% (120) as training set, remaining customer requirements selected as test set.</t>
  </si>
  <si>
    <t>yes (reused PL features already identified within 159 customer requirements)</t>
  </si>
  <si>
    <t>TF-IDF and PCA, Doc2Vec, K-Means Clustering.
Later on aims to include Facebook's FastText and BERT.</t>
  </si>
  <si>
    <t>The TF-IDF pipeline showed results with an average accuracy of approximately 70.93%, compared to Doc2VecTraining and Doc2VecWiki300, which achieved lower accuracy.</t>
  </si>
  <si>
    <t>kein zugriff</t>
  </si>
  <si>
    <t>software quality attributes, including both functional and non-functional requirements. Quality factors: Security, Useability, Reliability, Maintainability, Efficiency, Understandability. Quality Attributs: for Security: Authenticity, Integrity. For Useability: Ease of access, Operability, Synthesis. For Reliablitiy: Correctness, Completeness, Consistenc, Stability. For Maintainability: Flexibility, Modularity, Modifiability. For Efficieny: Efficiency, Recovery, Performance. For Understandability: Unterstandability, Consistency, Modularity</t>
  </si>
  <si>
    <t>derived from user stories in Agile Software Development contexts according to McCall's quality model (McCall, J.A., Richards, P.K., Walters, G.F.: Factors in software quality)</t>
  </si>
  <si>
    <t>Design: extracting relevant quality aspects and prioritizing them</t>
  </si>
  <si>
    <t>Modeling: propose framework on how to extract and prioritize quality aspects</t>
  </si>
  <si>
    <t>quantification of effectiveness of QAExtractor Framework against SpaCy classifier: confusion matrix, accuracy, precision, recall, f-measure</t>
  </si>
  <si>
    <t>open source onlince sample dataset DS1 and DS2 is from Gilson et al. (Gilson, F., Galster, M., Georis, F.: Extracting quality attributes from user stories for early architecture
decision making, 2019)</t>
  </si>
  <si>
    <t>no information available in paper, contains user stories</t>
  </si>
  <si>
    <t>DS1 is labelled, DS2 is originally not</t>
  </si>
  <si>
    <t>CNNs, SVM, Decision Trees</t>
  </si>
  <si>
    <t>DS1: 1042 predicitions, of which 799 were correct --&gt; QAExtractor accuracy of 75%, precision of 0.79, recall of 0.92, f-measure of 0.85. DS2: accuracy of 0.77, precision of 0.87, recall of 0.85, f-measure of 0.86.</t>
  </si>
  <si>
    <t>unclear</t>
  </si>
  <si>
    <t>PROMISE dataset labels</t>
  </si>
  <si>
    <t>recognize</t>
  </si>
  <si>
    <t>validation and verification</t>
  </si>
  <si>
    <t>predicted the requirements based on CNN with a softmax activation function in the last layer (no threshold mentioned for activation of the corresponding requirements)</t>
  </si>
  <si>
    <t>PROMISE dataset: 11 sets of NFR and 1 of FR sorting into 12 software quality attributes, and another dataset gathered through annotation system softrequest.co over five software projects in Indonesia from 25th May to 5th June 2020 (education information system, boutique e-commerce, smart home for elderly, smart farming system and police department information system) and sorted manually into 12 Quality attributes of PROMISE dataset</t>
  </si>
  <si>
    <t>collected dataset consists of 3473 requirements texts, natural language pattern follows the IEEE standard 830-1998 while softrequest data</t>
  </si>
  <si>
    <t>Data Collection Process: define and extract requirements via softrequest.co, label quality; Dataset domain labeling: 189 software developers and analysts executed labeling and domain verificaiton process via Annotator tool to verify the quality attributes labels and domain labels for the requirements</t>
  </si>
  <si>
    <t>Yes</t>
  </si>
  <si>
    <t>three different CNN models: A - model generated by dataset of Kurtanovic and Maalej, B - model from softrequest.co dataset, C - merge of both, each with 80/20 train / test split, each having different domains, models used to predict baseline (PROMISE) dataset in various experiments</t>
  </si>
  <si>
    <t>Model A is biased towards domain, Model C better than B to predict dataset of Kurtanovic and Maalej, adding more data (C instead of B) improves data-driven prediction performance, using data augmentation can generalize a better classifier to handle the variation of requirements highly, especially in a broad domain when the data training itself contains a similar domain with the test dataset, "Look and feel" almost surely correctly lassified, misclassification occurred the most belongs to the functionality quality attribute which contained the largest proportion of dataset (about 40.4% of [3] dataset and 83% of softrequest dataset)</t>
  </si>
  <si>
    <t>The ill-definition or neglect of non-functional requirements has been frequently reported as a problem in agile requirements engineering. Despite the importance of such requirements for the success of software projects, little research is available for reviewing them in the agile requirements. The few existing proposals are either too heavy-wight, lack agility assessment, or lack clarity on how to be embedded in an agile environment. These factors might reduce their adoption among agile practitioners. To address this problem, we propose a framework for reviewing non-functional requirements in the agile requirements formulated as user stories. Our proposed framework utilizes a combination of natural language processing and artificial intelligence techniques to automate analyzing and predicting non-functional requirements in user stories. Then, the artifacts needed for the requirements reading and reviewing technique are generated to assist requirements inspectors in reviewing non-functional requirements, identifying possible defects, and consequentially making a reasonably informed review decision. Our proposal aims to mitigate the most reported causes of the problem in the literature: the minimal documentation, the functionality-driven nature of agile requirements, and insufficient non-functional requirements knowledge. © 2023 ITMA.</t>
  </si>
  <si>
    <t>(look up ISO/IEC 25010, have not mentioned any specific ones in the paper)</t>
  </si>
  <si>
    <t>used the ISO/IEC 25010 software product quality model to create a list of NFRs (nine quality characteristics decomposed into more than 30 subcategories)</t>
  </si>
  <si>
    <t>improve</t>
  </si>
  <si>
    <t>no metrics, since only research plan</t>
  </si>
  <si>
    <t>no dataset used since only research plan</t>
  </si>
  <si>
    <t>Use of Dalpiaz's Dataset, publishes a collection of 22 backlog datasets containing a range of 50 to 114 requirements per backlog, expressed as user stories, collected from online data, focuses on ambigouity detection</t>
  </si>
  <si>
    <t>NFR + description + user story given to review and inspection through PBR technique, reviewing/improving requirements by rewriting, checking acceptance criteri and definition of done</t>
  </si>
  <si>
    <t>no</t>
  </si>
  <si>
    <t>research plan describes plan to classify the
user stories requirements into different NFRs. This can be
done using algorithms such as Naive Bayes, SVM, Decision
Trees, Random Forest, Logistic Regression, Convolutional
Neural Networks (CNNs), Recurrent Neural Networks
(RNNs), or transformer-based models such as BERT.</t>
  </si>
  <si>
    <t>no impact measured since only research plan</t>
  </si>
  <si>
    <t>Goal-Oriented Requirements Engineering (GORE) plays a crucial role in facilitating effective communication between stakeholders in system development. Through the use of goal models, GORE provides a structured approach for eliciting, analyzing, and managing requirements from the perspective of stakeholders' goals and intentions. However, goal models are susceptible to poor practices, called also bad smells, that may hinder the effective communication and understanding among stakeholders, potentially leading to misinterpretations and inconsistencies in requirements. In particular, goal models are prone to linguistic bad smells encompassing a spectrum of anoma-lies such as unclear or ambiguous goal statements, conflicting or contradictory requirements, and instances of misspellings. Therefore, identifying and addressing linguistic bad smells in goal models is crucial for ensuring the quality and accuracy of goal models. In this paper, we define seventeen linguistic bad smells in goal models, classified into four categories: Syntax, Semantics, Pragmatics, and Complexity. Furthermore, we provide Natural Language Processing (NLP) based detection methods for twelve specific bad smells, which we have automated to target Textual GRL (TGRL) models. The proposed approach and tool are evaluated using two TGRL models achieving an F2-Score of 0.8. © 2023 IEEE.</t>
  </si>
  <si>
    <t>defined 17 bad smells and classified them into four categories (Syntax, Semantics, Pragmatics, and Complexity): element size (An element of large number of words), complex sentences (A complex sentence is a sentence with one
independent clause and at least one dependent clause), punctuation marks (Presence of punctuation marks such as:
period, question mark, exclamation point, comma, semicolon, colon, parentheses, brackets, braces, quotation
marks, and ellipsis), incorrect actor syntax (An actor denotes a role, an agent (hardware or software), or a position. Cannot be expressed as
a verb phrase (VP)), incorrect goal syntax (A (hard) goal denotes an actor objective.
A goal shall be expressed as a Noun Phrase (NP).), incorrect softgoal syntax (A softgoal denotes an objective with no
clear-cut criteria with respect to its satisfaction. A softgoal shall be expressed as a Noun Phrase (NP)), incorrect task syntax ( A Task denotes an activity. A task shall be
expressed as a Verb Phrase (VP)), incorrect resource syntax (A resource can be physical or an information entity. A resource shall be expressed as a Noun
Phrase (NP).), similar elements (Semantically Duplicate/similar text used in
different elements within the same actor.), Misspelling (Presence of misspelled words), Goal/Task and Sub-goal/Sub-task mismatch (sub-goal/sub-task does not follow its primary goal/task), conflicting goals / tasks (A goal/task from an actor conflicting with
other goals/tasks within the same actor.), incomplete text (A text that requires additional text to be
meaningful.), incorrect goal semantics (A (hard) goal denotes for a sharply defined
objective. A Goal shall be precise and its end state or
outcome is clearly specified), incorrect softgoal semantics (A softgoal denotes an objective with no
clear-cut criteria with respect to its satisfaction. A Softgoal is used to denote quality attributes or nonfunctional
requirements (NFRs)), too specific element (Elements should describe the what, not the
how, where, or when.), ambiguous element (Elements missing clarity and can be interpreted in more than one way), Classification: Syntax (Incorrect actor syntax, Incorrect goal syntax, Incorrect softgoal syntax, Incorrect task syntax, Incorrect
resource syntax, Punctuation marks, and Misspellings), Semantic (Incomplete text, Incorrect goal semantics, Incorrect
softgoal semantics, Too specific element, and Ambiguous element), Pragmatics (Similar Elements, Conflicting goals/tasks,
and Goal/Task and Sub-goal/Sub-task mismatch), Complexity
(Element Size, and Complex Sentences).</t>
  </si>
  <si>
    <t>identified throughout relevant literature, encompassing general goal models, as well as incorporating best practices from the utilization of the i* language</t>
  </si>
  <si>
    <t>assess</t>
  </si>
  <si>
    <t>Verification and Validation</t>
  </si>
  <si>
    <t>binary for each bad smell: found / not found, extension through missed bad smells by participants (model or students -&gt; added to the list after verification, then binary)</t>
  </si>
  <si>
    <t>University alumni, Healthcare system (both available on https://github.com/Noufst/TGLR-Bad-Smells)</t>
  </si>
  <si>
    <t>no information provided, but original datasets adapted through inserting more bad smells</t>
  </si>
  <si>
    <t>no, given the two TGRL models, the participants should identify all linguistic bad smells in both models, and report any issues that do not align with any of the
proposed bad smells. Analyze the manually found bad smells and compare them with the ones found by our automated tool.</t>
  </si>
  <si>
    <t>fine-tuned Naural Language Inference model publically available (here: https://huggingface.co/nouf-sst/bert-base-MultiNLI), but no information on development</t>
  </si>
  <si>
    <t>recall average over both datasets 0.95, precision average 0.5, f1 average 0.65, f2 average 0.8</t>
  </si>
  <si>
    <t>nur preprint verfügbar</t>
  </si>
  <si>
    <t>In the automotive industry, specifications often consist of a large number of textual requirements. These requirements are linguistically ambiguous and written in informal language. Utilizing Structured English for requirements eliminates ambiguity, improves data quality, and supports further automated processing while maintaining readability. The recent development of large language models enables a fully automated translation approach using few-shot learning. To deal with the limited context size of large language models, an improved algorithm, OptKATE, is presented to find an ideal set of requirements for few-shot learning. Structured English can be used as a basis for further formalization. This capability is key in creating an interface between natural language processing and verification, in our case, consistency analysis using the Z3 SMT solver. We implemented a grammar for translating Structured English into TCTL using the MontiCore workbench. Furthermore, since SMT-based methods currently rely on manual precondition satisfaction and do not tackle conflicting preconditions automatically, we propose a scenario generation algorithm that generates potential scenarios using the specification and checks the requirements against them. Through this approach, we can better identify and resolve conflicting preconditions, ultimately improving the consistency of requirements. Our toolchain is evaluated using an automotive requirements dataset provided by former Daimler AG. © 2023 IEEE.</t>
  </si>
  <si>
    <t>adjustment measured in binary format for semantic and syntactic correctness</t>
  </si>
  <si>
    <t>Daimler dataset consisting of 117 industrial requirements and design decisions</t>
  </si>
  <si>
    <t>requirements are formulated for two automotive systems: the Adaptive Light System (ALS) (standard functions) and Advanced Driver Assistance System (ADAS) (speed limit, adaptive cruise control), both containing mainly behavioural function requirements, headers and descriptions, translated into structured english, broken down to 38 requirements that meet the standards on response patterns,</t>
  </si>
  <si>
    <t>no, consistency checking by model and then left out consistencies added by reviewer</t>
  </si>
  <si>
    <t>semantic encoder / cosine similarity calculation for automated transformation of the 38 requirements, calculated SE and BLEU score, most of the requirements (28% up to 45 % per goup of 10 requirements) needed adjustment regarding semantically and syntactically adjustments</t>
  </si>
  <si>
    <t>none of the requirements with inconsistent pre- and postconditions were reported by the consistency checker</t>
  </si>
  <si>
    <t>Without a precise specification, an IT project might not remain on time and on budget constraints, or it might lead to a different outcome than desired. A number of established standards define how requirements must be written to avoid such issues. This paper describes our ongoing work to derive a comprehensive set of standardized criteria that IT-requirements must meet in accordance with IEEE 1233-1996 and ISO/IEC/IEEE 29148-2011. We also use a text-mining approach to identify IT-requirements that violate these standards. Our preliminary results are promising: In our biased dataset, we can use text features that are easy to compute, to filter out requirements that do not comply with the standards. Our beneficiaries are auditors, developers, Scrum teams, customers and other stakeholders whose projects are highly dependent on extensive IT-requirements specification. © 2021 IEEE.</t>
  </si>
  <si>
    <t>does not provide explicit definitions for specific quality aspects, but focuses on detecting ambiguities and inconsistencies, particularly regarding their completeness and consistency, ambiguity and vagueness</t>
  </si>
  <si>
    <t>no quality aspects of requirements mentioned, therefore no source given</t>
  </si>
  <si>
    <t>analyze</t>
  </si>
  <si>
    <t>only a research plan, therefore no metrics of evaluation presented specifically</t>
  </si>
  <si>
    <t>real set of ground segment requirements of a meteorological satellite program</t>
  </si>
  <si>
    <t>consists of more than 13000 requirements that also refer to several other support documents and will be used to train, test, and validate our techniques. In the requirements set, there are approximately 500 abbreviations, custom terms or product names, which are not part of any standard dictionary or reference model</t>
  </si>
  <si>
    <t>NLP pipeline adapted from Winkler and Vogelsang to extract domain and requirements model, part-of-speech tagging and morphological analysis (no further specifics on evaluation mentioned)</t>
  </si>
  <si>
    <t>none, since only research plan</t>
  </si>
  <si>
    <t>Large collections of data help evolve deep learning into the state-of-the-art in solving many artificial intelligence problems. However, the requirements engineering (RE) community has yet to adapt to such sweeping changes caused exclusively by data. One reason is that the traditional requirements quality like unambiguity becomes less applicable to data, and so do requirements fault detection techniques like inspections. In this paper, we view deep learning as a class of machines whose effects must be evaluated with direct consideration of inherent data quality attributes: accuracy, consistency, currentness, etc. We substantiate this view by altering stationarity of the multivariate time-series data, and by further analyzing how the stationarity changes affect the behavior of a recurrent neural network in the context of predicting combined sewer overflow. Our work sheds light on the active role RE plays in deep learning. © 2020 IEEE.</t>
  </si>
  <si>
    <t>no quality aspects mentioned but classification of requirements into Functional requirements, which are related to functional concern; Non Functional Requirements: Performance requirements which are related to a performance concern, Specific quality requirements which are related to a quality concern; Constraints which refer to requirements that constrains the solution space beyond what is necessary for meeting the given functional, performance, and specific quality requirements.</t>
  </si>
  <si>
    <t>concern-based model of requirements by Glinz, Requirements Abstractions Model (RAM) by Gorschek and Wohlin (2006), Software-Hardware Model (SHM) derived from ISO/IEC/IEEE 42010</t>
  </si>
  <si>
    <t>management</t>
  </si>
  <si>
    <t>Cramers V (value between 0 and +1, where 0 is no association and +1 is full association) used to evaluate the following criteria:
Budget changes: Whether a requirement led to an increase or no change in budget.
Analysis time: The time spent analyzing and addressing the requirements.
Number of comments: The frequency of employee comments on change requests.
Time sequence of comments and change requests: The order in which comments and change requests occur and their impact on budget changes.</t>
  </si>
  <si>
    <t>large infrastructure dataset from 2007, completed in 2017</t>
  </si>
  <si>
    <t>5073 requirements with information (budget, comments from employees, and time sequence of change requests) on it, reduced to 215 requirements that have a budget change documented</t>
  </si>
  <si>
    <t>yes (budget impact, comments and analysis in time given)</t>
  </si>
  <si>
    <t>Chi-Square test of association.
Correspondence analysis.
Non-parametric tests (Kruskal-Wallis H test).</t>
  </si>
  <si>
    <t>analysis of how requirements characteristics, such as type (software vs. hardware), number of comments, and analysis time, affect the project budget. concludes that software requirements are harder to handle</t>
  </si>
  <si>
    <t>accuracy (the precision of formal specifications generated from unstructured natural language) and correctness when translating natural language requirements into formal specifications.
Ambiguity: Addressed as a critical issue in translating natural language to formal specifications.
Usability: Making the translation process easier for users by allowing interactive editing of sub-translations.</t>
  </si>
  <si>
    <t>not directly mentioned, extracted</t>
  </si>
  <si>
    <t>assess, improve</t>
  </si>
  <si>
    <t>modeling</t>
  </si>
  <si>
    <t>Translation accuracy: The percentage of correctly translated natural language sentences into LTL formulas.
Confidence scores: Each sub-translation generated by the tool is accompanied by a confidence score, indicating the system’s certainty in the translation.
Translation loops: The number of iterations needed by users to correct and refine the translations.</t>
  </si>
  <si>
    <t>benchmark dataset generated by 5 human experts</t>
  </si>
  <si>
    <t>36 benchmark instances for a benchmark dataset of unstructured natural language and their formalizations into LTL from five experts in the field who provided examples that the experts thought are challenging for a neural translation approach</t>
  </si>
  <si>
    <t>yes (corresponding LTL formula)</t>
  </si>
  <si>
    <t>Use of Codex and Bloom to generate formal specifications, few-shot prompting and interactive sub-translation refinement</t>
  </si>
  <si>
    <t>Translation accuracy: Initial experiments showed that Codex achieved a 44.4% success rate in translating natural language into LTL formulas, which increased to 86.1% after users refined the translations through interactive loops.
Efficiency: On average, it took 1.4 translation loops to correct erroneous translations, demonstrating the efficiency of the tool.
Ambiguity detection: The tool successfully identified and resolved ambiguities in 9 of the 36 cases in the benchmark dataset.</t>
  </si>
  <si>
    <t>The quality of a test case primarily depends on the software requirements. However, manually identifying crucial elements like preconditions and post-conditions within software requirements can be time-consuming and labor-intensive. This challenge has prompted a research study to propose a novel approach for test case generation using text classification. The proposed approach involves categorizing software requirements into two labels: 'none' and 'both.' These labels indicate the presence or absence of preconditions and post-conditions in software requirements. To achieve this, the research employs the Naive Bayes algorithm, a widely used probabilistic classification algorithm in text classification tasks. The algorithm leverages two libraries, namely Scikit-learn and Natural Language Toolkit (NLTK). The Scikit-learn model proves quite effective through experimentation, achieving an impressive accuracy score of 0.86. This result demonstrates the feasibility of reducing the effort and time required for classifying test case components based on software requirements. By automating this process, the proposed approach offers a promising route for enhancing the efficiency and effectiveness of test case generation in software testing. By leveraging text classification and machine learning techniques, the proposed approach not only streamlines the identification of essential components in software requirements but also opens up possibilities for further automation and optimization of the testing process. © 2023 IEEE.</t>
  </si>
  <si>
    <t>With the rapid advancement of tools based on Artificial Intelligence, it is interesting to assess their usefulness in requirements engineering. In early experiments, we have seen that ChatGPT can detect inconsistency defects in natural language (NL) requirements, that traditional NLP tools cannot identify or can identify with difficulties even after domain-focused training. This study is devoted to specifically measuring the performance of ChatGPT in finding inconsistency in requirements. Positive results in this respect could lead to the use of ChatGPT to complement existing requirements analysis tools to automatically detect this important quality criterion. For this purpose, we consider GPT-3.5, the Generative Pretrained Transformer language model developed by OpenAI. We evaluate its ability to detect inconsistency by comparing its predictions with those obtained from expert judgments by students with a proven knowledge of RE issues on a few example requirements documents. © 2023 IEEE.</t>
  </si>
  <si>
    <t>inconsistency: the presence of conflicting or contradictory descriptions of the expected behavior of a system within requirements</t>
  </si>
  <si>
    <t>own definition</t>
  </si>
  <si>
    <t>found pairs and ground truth pairs defined, calculated TP, TN, FP, FN from them</t>
  </si>
  <si>
    <t>Coffee Machine: Requirements for an automatic coffee vending machine.
E-shop: Requirements for an online shopping system.
Library: Requirements for the System Administration Module of an urban library system.
ETCS: Functional requirements for the European Train Control System. Each dataset injected with inconsistent requirements</t>
  </si>
  <si>
    <t>Coffee Machine: 6 original requirements and 15 injected inconsistent requirements.
E-shop: 18 original requirements and 15 injected inconsistent requirements.
Library: 94 original requirements and 15 injected inconsistent requirements.
ETCS: 49 original requirements and 15 injected inconsistent requirements.</t>
  </si>
  <si>
    <t>yes, original (labeled "1") or injected (labeled "0")</t>
  </si>
  <si>
    <t>ChatGPT3.5
(prompting, mutant generation)</t>
  </si>
  <si>
    <t>precision and recall measured: high precision in some cases (e.g., E-shop dataset) and lower performance with larger, more complex datasets (e.g., Library and ETCS).</t>
  </si>
  <si>
    <t>unclear "text quality of requirements"</t>
  </si>
  <si>
    <t>requirements specification</t>
  </si>
  <si>
    <t>Data from the DAM4KMU</t>
  </si>
  <si>
    <t>41 annotated sentences where used to test the Semantic Role Recognition. 353 sentences where used for training the NER-Model using spaCy NER-Pipeline and the rest were used to test it with the following results.
For the evaluation of the Text Classification 325 sentences (109, requirements, 109 tasks, 109 general information) where used with 260 sentences for training and 65 sentences for evaluation.
For the evaluation of the Link Assistant, the NLI-task was tested using the Stanford Natural Language Inference (SNLI) Corpus9, which, however, cannot be transferred particularly well to the use case of detecting possible conflicts within requirements. A test with 200 real requirements resulted in a recall of 33%, which shows the need for a training data set that is specifically adapted to the use case. For this reason, a new NLI data set is being developed together with industrial partners within the DAM4KMU project, which will subsequently be published.</t>
  </si>
  <si>
    <t>unknown</t>
  </si>
  <si>
    <t>NA</t>
  </si>
  <si>
    <t>The text classification is realized using the TextCategorizer1 - a CNN based implementation - from spacy.</t>
  </si>
  <si>
    <t>Precision , Recall, F1</t>
  </si>
  <si>
    <t>No</t>
  </si>
  <si>
    <t>C: compatibility, M : maintainability, P F : performance, P T : portability, R: reliability, S: security</t>
  </si>
  <si>
    <t>ISO/IEC 25010</t>
  </si>
  <si>
    <t>requirements specification (Classification between different quality aspects)</t>
  </si>
  <si>
    <t>The corpus of backlogs and user stories in our study was a set of 1,775 publicly available stories similar to that used by Dalpiaz et al. [5] and in our previous work [9],</t>
  </si>
  <si>
    <t>The corpus of backlogs and user stories in our study was a set of 1,775 publicly available stories similar to that used by Dalpiaz et al. [5] and in our previous work [9], see Table 1. The number of user stories ranges from 50 to 114 with an average of 76 per backlog. The average length of stories is 24 words.</t>
  </si>
  <si>
    <t>Public</t>
  </si>
  <si>
    <t>Not mentioned.
"we relied on our previous work [9] which compared different natural language-based machine learning techniques and models using the spaCy library for natural language processing."
Previous source also dones not mention any model name or type!
[9] Gilson, F., Galster, M., Georis, F.: Extracting quality attributes from user stories for early architecture decision making. In: International Workshop on Decision Making in Software Architecture (MARCH). pp. 1–8. IEEE (2019)</t>
  </si>
  <si>
    <t>In Table 2 we provide the sequences of ranked quality attributes for each backlog
(most frequently to least frequently occurring attribute).
“Missed” indicates how many quality attributes appear in the sequence from the manual identification, but not in the sequence from the automatic identification.
“Additional” indicates the number of quality attributes that appear in the sequence from the automatic identification, but not in the sequence from the manual identification.</t>
  </si>
  <si>
    <t>Key Findings regarding Q1 (missing quality attributes): Table 2 (column “Difference”) shows that for most backlogs, the automatic classification identified a subset of the manually labelled quality attributes. For only two backlogs, the automatic identification found quality attributes that were not identified through manual inspection (security for backlogs of PlanningPoker and NSF ). This means that the amount of false positives on backlog level is rather small (we analyzed false positives at story level in [9]). On the other hand, the most frequently missed quality attributes across all backlogs were se- curity, reliability and portability (eight times each). There are two backlogs for which no quality attribute were automatically identified. CamperPlus contained two stories related to security and BadCamp contained two stories related to security and one related to compatibility. Still, these attributes were indirectly related to the stories. For example, the story “As a parent, I want to be able to create an account, so that I can sign up my kids for camp online.” from Camper-Plus was annotated with security albeit no obvious reference to security, the manual annotations often being subject to human interpretation.
Key findings regarding Q2 (importance of quality attributes): We found that the ranked sequences were quite different mostly because of the missing quality attributes in the automatic classification (column “Difference”). The number of swaps is rather small except for a few backlogs, e.g., NSF and CASK (see column “Swaps”). On the other hand, the sequences for NeuroHub (the only backlog where the quality attributes were the same in both rankings) showed quite a different order. Focusing on the top quality attributes, the differences are rather small (e.g., a quality attribute might be the first ranked in one sequence and the second ranked in another sequence). An exception is the backlog for CASK, where compatibility appears least frequently in the manual sequence, but most frequently in the automatic sequence. When looking at the number of occurrences of quality attributes in each sequence of CASK, we notice that the absolute numbers for compatibility are rather close, but the main difference is related to maintainability.</t>
  </si>
  <si>
    <t>Unclear</t>
  </si>
  <si>
    <t>requirements specification (Classification between non functional and functional)</t>
  </si>
  <si>
    <t>Promise (NFR)</t>
  </si>
  <si>
    <t>he NFR quality attributes data set, also known as
the PROMISE [30] corpus, is a compilation of
requirements specifications for 15 software projects
developed by students at DePaul University as a term
project for a course in Requirements Engineering. The
language of the content is in English. The data set con-
sists of 326 NFRs and 358 FR requirements. The NFR
dataset lends itself, for purposes of this research, to the
multi-label classification of various types of NFR
requirements</t>
  </si>
  <si>
    <t>Embeddings (Word2Vec, FastText, Glove, Random) + CNN</t>
  </si>
  <si>
    <t>Classification task.
F1, Precision, Recall
Anova was performed for mesuring differences between models (+statistical tests)</t>
  </si>
  <si>
    <t>o evaluate the model implemented for the CNN
with the different 3 pre-trained matrices used, the
analysis of variance (ANOVA) was performed. Taking
the averages of F1 resulting from cross-validation
training k-fold with k = 10, since said metric rep-
resents the average between Recall and Precision. The
goodness of F1 is useful when there is an unequal dis-
tribution in the classes, this being the case of the data
set being used, for this reason, it was decided to per-
form ANOVA on that metric.
[...]
The overall mean of the metric F1, as
shown in Fig. 4a was 0.81 for 30 samples (N) and its
confidence interval (CI, for its acronym in English) at
95% was (0.72, 0.89). The specific means for the
groups by model with N = 10 were the following (see
Fig. 4b). Fasttext with a mean of 0.88 and a CI at 95%
of (0.86, 0.88), for Glove’s case obtained an average of
0.67 with a 95% CI of (0.45, 0.90), on the other hand,
Word2vec returned an average of 0.87 and a 95% CI of
(0.86, 0.88).
The standard significance value of = 0.05 was taken
as a reference, however, when calculating ANOVA for
the samples presented, it can be seen in Table 7 that
there is a statistically significant difference between
the models presented because it was obtained a p =
1.148591e-16. Therefore, with the observed data, there
is sufficient evidence to assume a significant difference
between the models exposed in this evaluation.</t>
  </si>
  <si>
    <t>Consistency? (automated contradiction detection)</t>
  </si>
  <si>
    <t>Assess (detect)</t>
  </si>
  <si>
    <t>Analysis</t>
  </si>
  <si>
    <t>Binary: issue found
Count: number of issues found</t>
  </si>
  <si>
    <t>We used two different datasets. The first dataset originates from a recent project for electric buses. In
this context a complete requirements package was derived, that describes a modular system, which
shall replace conventional bus powertrains with new, electric powertrains. The role of requirements in
the development process of electric buses can be found in Design of urban electric bus systems
(Göhlich et al. 2018). We based our study on 1,561 functional and non-functional requirements. The
specifications are written in German and the examples discussed in this paper were translated into
English.
The second dataset is public, originating from Fischbach (Fischbach et al. 2020). It is an
accumulation of approximately 15,000 requirements written in English from many different sources
available online. From this dataset we used 300 randomly selected requirements, available online at
Swarm-Engineer (2023). For our analysis, we translated them into German via DeepL. We used this
dataset to show the feasibility to get correct results with non-automotive requirements and an
originally English dataset.</t>
  </si>
  <si>
    <t>1,561 functional and non-functional requirements. The specifications are written in German.
(Fischbach et al. 2020). It is an accumulation of approximately 15,000 requirements written in English from many different sources available online. From this dataset we used 300 randomly selected requirements</t>
  </si>
  <si>
    <t>Mixed closed and open source</t>
  </si>
  <si>
    <t>Naïve Bayes (NB)
k-Nearest Neighbor (kNN)</t>
  </si>
  <si>
    <t>Classification Task
Confusion Matrix</t>
  </si>
  <si>
    <t>Dataset 1:
The overall accuracies are:
• grammatical model: 99%
• NB model: 91%
• kNN model: 94%
Dataset2:
The overall accuracies are:
• Grammatical model: 92%,
• NB model: 67%
• kNN model: 91%.
Figures 3 and 4 show confusion matrix.
Test mentions potential overfitting</t>
  </si>
  <si>
    <t>exclude no ML</t>
  </si>
  <si>
    <t>Requirements elicitation interviews are the most popular requirements elicitation technique and an integral part of requirements engineering education. Good and bad interview scripts provide students with examples of applying the theory. Constructing an interview script requires technical knowledge, practical experience, and creativity. As a result, only a few educational interview scripts are available to the community. This paper explores automatically generating interview scripts with large language models through prompt engineering. Our contribution is two-fold: First, we present a graph representation of interactive interview scripts. Second, we apply prompt engineering techniques to generate business domain descriptions, linear scripts, and conversation pieces focused on certain types of mistakes. Our findings indicate that large language models face challenges in handling interview conversation graphs. However, we can enhance the quality of the generated interview scripts by decomposing the task into smaller components and refining the prompts to provide more precise instructions. © 2023 IEEE.</t>
  </si>
  <si>
    <t>Unclear (quality of interview scripts)
Issues listed:
M1 No rapport with stakeholder
M2 Asking long question
M3 Lack of preparation
M4 Asking technical question
M5 Influencing stakeholder
M6 Asking vague question
M7 Asking stakeholder for solution
M8 Not asking for existing system
M9 Unnatural dialogue style
M10 Ignoring other stakeholders
M11 Asking unnecessary question
M12 Incorrect ending of interview
M13 Did not provide short summary</t>
  </si>
  <si>
    <t>[2] M. Bano, D. Zowghi, A. Ferrari, P. Spoletini, and B. Donati, “Teaching requirements elicitation interviews: an empirical study of learning from mistakes,” Requirements Engineering, vol. 24, no. 3, pp. 259–289, 2019.</t>
  </si>
  <si>
    <t>Elicitation</t>
  </si>
  <si>
    <t>None</t>
  </si>
  <si>
    <t>ChatGPT and Bard.</t>
  </si>
  <si>
    <t>not yet done (Future Work)</t>
  </si>
  <si>
    <t>Open</t>
  </si>
  <si>
    <t>Context: Multiple semi-formal syntax templates for natural language requirements foster to reduce ambiguity while preserving readability. Yet, existing studies on their effectiveness do not allow to systematically investigate quality benefits and compare different notations. Objectives: We strive for a comparative benchmark and evaluation of template systems to support practitioners in selecting template systems and enable researchers to work on pinpoint improvements and domain-specific adaptions. Methods: We conduct a comparative experiment with a control group of free-text requirements and treatment groups of their variants following different templates. We compare effects on metrics systematically derived from quality guidelines. Results: We present a benchmark consisting of a systematically derived metric suite over seven relevant quality categories and a dataset of 1764 requirements, comprising 249 free-text forms from five projects and variants in five template systems. We evaluate effects in comparison to free text. Except for one template system, all have solely positive effects in all categories. Conclusions: The proposed benchmark enables the identification of the relative strengths and weaknesses of different template systems. Results show that templates can generally improve quality compared to free text. Although MASTER leads the field, there is no conclusive favourite choice, as overall effect sizes are relatively similar. © 2023 IEEE.</t>
  </si>
  <si>
    <t>exclude no ML (intersting benchmark though)</t>
  </si>
  <si>
    <t>requirements specification (formalization).
"Our new approach utilizes NLP techniques to automatically generate requirement models from natural language requirements and design specifications"</t>
  </si>
  <si>
    <t>We use the data of the Propulsion Control (PPC) system in Bombardier Transportation, an Alstom Group Company. The PPC is part of a large, complex, safety-critical system. It handles the control of the entire propulsion system, including both control software as well as the electrical functions.</t>
  </si>
  <si>
    <t>Unknown</t>
  </si>
  <si>
    <t>Closed source</t>
  </si>
  <si>
    <t>Embeddings (TF, FastText, Glove, SBert)
GLoVe-LSTM (sentiment analysis)
Mixture-of-Experts for Antonym-Synonym Discrimination (MoE-ASD) (antonmy-synonym detection)
…</t>
  </si>
  <si>
    <t>Classifiaction Tasks (3 classes?)
True positive rate, true negative rate, average accuracy</t>
  </si>
  <si>
    <t>https://github.com/ifak-prototypes/nlp_reform</t>
  </si>
  <si>
    <t>Requirements Engineering (RE) is one of the initial phases when building a software system. The success or failure of a software project is firmly tied to this phase, based on communication among stakeholders using natural language. The problem with natural language is that it can easily lead to different understandings if it is not expressed precisely by the stakeholders involved. This results in building a product which is different from the expected one. Previous work proposed to enhance the quality of the software requirements by detecting language errors based on ISO 29148 requirements language criteria. The existing solutions apply classical Natural Language Processing (NLP) to detect them. NLP has some limitations, such as domain dependability which results in poor generalization capability. Therefore, this work aims to improve the previous work by creating a manually labeled dataset and using ensemble learning, Deep Learning (DL), and techniques such as word embeddings and transfer learning to overcome the generalization problem that is tied with classical NLP and improve precision and recall metrics using a manually labeled dataset. The current findings show that the dataset is unbalanced and which class examples should be added more. It is tempting to train algorithms even if the dataset is not considerably representative. Whence, the results show that models are overfitting; in Machine Learning this issue is adressed by adding more instances to the dataset, improving label quality, removing noise, and reducing the learning algorithms complexity, which is planned for this research. © 2021 IEEE.</t>
  </si>
  <si>
    <t>5 smells: subjective language (JJ), ambiguous adverbs and adjectives (RB), superlatives (JJS), comparatives (JJR), and vague pronouns (WDT).</t>
  </si>
  <si>
    <t>Binary
(smell found/not found)</t>
  </si>
  <si>
    <r>
      <t xml:space="preserve">We gathered requirements specification documents from </t>
    </r>
    <r>
      <rPr>
        <b/>
        <sz val="11"/>
        <color theme="1"/>
        <rFont val="Aptos Narrow"/>
        <scheme val="minor"/>
      </rPr>
      <t>28 closed-source projects</t>
    </r>
    <r>
      <rPr>
        <sz val="11"/>
        <color theme="1"/>
        <rFont val="Aptos Narrow"/>
        <family val="2"/>
        <scheme val="minor"/>
      </rPr>
      <t xml:space="preserve">. We extract 454 requirements from closed-source projects and 2792 requirements from the </t>
    </r>
    <r>
      <rPr>
        <b/>
        <sz val="11"/>
        <color theme="1"/>
        <rFont val="Aptos Narrow"/>
        <scheme val="minor"/>
      </rPr>
      <t>PURE dataset</t>
    </r>
    <r>
      <rPr>
        <sz val="11"/>
        <color theme="1"/>
        <rFont val="Aptos Narrow"/>
        <family val="2"/>
        <scheme val="minor"/>
      </rPr>
      <t xml:space="preserve"> [36].
Our work intends to expand the dataset size to around 15000–20000 instances.</t>
    </r>
  </si>
  <si>
    <t>A. Ferrari, G. O. Spagnolo, and S. Gnesi, “Pure: A dataset of public requirements documents,” in 2017 IEEE 25th International Requirements Engineering Conference (RE). IEEE, 2017, pp. 502–505.</t>
  </si>
  <si>
    <t>Mixed: Open and Closed source</t>
  </si>
  <si>
    <t>Yes
Self-supervised learning to generate labels for each instance automatically, although the ultimate goal of this study is to carry manual labeling once data collection is complete, instead of using self-supervised learning.</t>
  </si>
  <si>
    <t>Embeddings: word-1-grams and TFIDF.
Synthetic Minority Oversampling Technique (SMOTE)2 [35] is employed to balance the class distributions in the dataset.
The chosen models are Multilayer Perceptron (MLP) and SVM.</t>
  </si>
  <si>
    <t>Cassification tasks (5 classes)
Precision, recall, F1</t>
  </si>
  <si>
    <t>Early stage results. Paper shows that models overfit!
MLP 
Precision = 0.87
Recall =  0.79 
F1 = 0.83
SVM
Precision =  0.89 
Recall = 0.81 
F1 = 0.84</t>
  </si>
  <si>
    <t>In requirements engineering (RE), anaphoric ambiguity is a frequent cause of misunderstandings. It can have a detrimental effect on the quality of requirements and jeopardize the success of a project. If stakeholders of the system, such as testers, developers, or customers, have different understandings or interpretations of software requirements, the system may not be accepted during customer validation. Despite its significance, there has been limited investigation into anaphoric ambiguity in RE. However, focusing on both recognizing and solving uncertainty can be more advantageous than just identifying it. Therefore we investigated the effectiveness of various QA learning techniques including encoder-based and text generation-based NLP models for two goals. We conduct detailed numerical experiments using various transformer models on two public requirements datasets and one generic dataset. Our results indicated that our QA architecture exhibits superior performance compared to baseline models in detecting ambiguity as well as resolving anaphora in contrast to other baseline approaches. We showed that our developed architecture can automatically support requirement development to minimize interpretation risk between stakeholders. © 2023 IEEE.</t>
  </si>
  <si>
    <t>Anaphoric ambiguity:
It occurs when there are multiple antecedents for an anaphora, which refers to earlier or later entities in the text. The most common anaphora in requirement engineering (RE) is a pronoun that is called pronominal anaphora.</t>
  </si>
  <si>
    <t>U. S. Shah and D. C. Jinwala, “Resolving ambiguities in natural language software requirements: a comprehensive survey,” ACM SIGSOFT SEN, vol. 40, no. 5, pp. 1–7, 2015.</t>
  </si>
  <si>
    <t>Assess (detect) + Improve</t>
  </si>
  <si>
    <t>Binary
(ambiguity detected ot not; full or partial match considered)</t>
  </si>
  <si>
    <t>ReqEval, DAMIR, and CoNLL2011. The first two datasets are specifically focused on software requirements, while the CoNLL2011 dataset is a general-purpose pronoun resolution dataset.
Source: S. Ezzini, S. Abualhaija, C. Arora, and M. Sabetzadeh, “Automated handling of anaphoric ambiguity in requirements: a multi-solution study,” in Proceedings of the 44th ICSE, 2022, pp. 187–199.</t>
  </si>
  <si>
    <t>The ReqEval dataset consists of 98 unique requirements from six different domains, with at least one pronoun occurrence, out of which 62 are marked as ambiguous.
This dataset is annotated by five software engineers.
The DAMIR dataset is created by Ezzini et al. [7] for anaphoric ambiguity in requirements by collecting 22 industrial requirements specifications from eight domains, and it consists of 342 ambiguous and 395 unambiguous sentences.
We also experiment with an adapted version of the 2011 edition of the Computational Natural Language Learning Conference (CoNLL2011) dataset [7].
The dataset consists of 6,757 unique pronouns, all of which are unambiguous and thus, can only be used for anaphora resolution purposes.</t>
  </si>
  <si>
    <t>Anaphora ambiguity detection:
• Majority classifier: This method assigns all the test instances to the same class label that has the highest number of labels in the training data.
• TF-IDF + SVM: The TF-IDF method initially assesses the importance of a word in a corpus. The SVM classifier is subsequently applied after utilizing the TF-IDF method.
• WE + SVM: For this method, a combination of FastText and GloVe word embedding techniques are applied to the data and passed to the SVM classifier.
• SBERT+ SVM.
• RoBERTa.
• DistilBERT.
• DeBERTaV3.
Anaphora ambiguity resolution:
• BERT (bert-base-uncased),
• RoBERTa (deepset/roberta-base-squad2),
• SpanBERT (spanbert-finetuned-squadv2),
•</t>
  </si>
  <si>
    <t>Anaphora ambiguity detection: Classification task
F1, Precision, Recall
Anaphora ambiguity resolution:
Full, Partial matching
Following the previous literature [7], we evaluate the anaphora resolution models using two definitions of accuracy: full matching (or exact matching) and partial matching. The full matching definition considers only the fully matched antecedents, while the partial matching definition allows for overlapping versions of the ground truth.</t>
  </si>
  <si>
    <t>In the detection task, we compare the performance of four BERT-based models with four baseline models and observe that the DeBERTaV3 model achieves the highest performance on two RE datasets.
For the anaphora resolution task, we compare Extractive QA and text-to-text generation methods using BERT variants and the T5 model, in that order. The numerical results indicate that the extractive QA approaches generally outperform the text generation-based T5 methods. However, in some cases, the performance of the T5 model is competitive or even better than the QA approaches.</t>
  </si>
  <si>
    <t>exclude (manually crafted rules, no ML)</t>
  </si>
  <si>
    <t>BERT-based models with four baseline models and observe</t>
  </si>
  <si>
    <t>that the DeBERTaV3 model achieves the highest performance</t>
  </si>
  <si>
    <t>Quality aspects and indicators adapted from [https://doi.org/10.1145/253228.253258]
Quality Aspects: Complete, Correct, Modifiable, Ranked, Testable, Traceable, Unambiguity, Understandable, Validatable, Verifiable, Complexity
Quality Indicators:Imperative, Continues, Directives, Options, Size, Weak phrases, Vague words, Implicit words, No. of conjunctions, Security, Readability</t>
  </si>
  <si>
    <t>Wilson W.M., Rosenberg L.H., Hyatt L.E.: Automated analysis of requirement specifications. In: Proceedings of the 19th International Conference on Software Engineering, pp. 161–171, BostonMassachusetts USA, (1997)
[https://doi.org/10.1145/253228.253258]</t>
  </si>
  <si>
    <t>Assess</t>
  </si>
  <si>
    <t>Defined with quality aspects and indicators in the source publication: [https://doi.org/10.1145/253228.253258]</t>
  </si>
  <si>
    <t>Three datasets to develop the method:
Two standard datasets:
(1) PURE (PUblic REquirements dataset) contains a collection of 79 SRSs documents with 34268 sentences [https://doi.org/10.1109/RE.2017.29]
(2) Reconstructed ARM, SRS from 4 open-soutrce projects obtained from different websites [Carlson N., Laplante P.: The NASA automated requirements measurement tool: A reconstruction. Innov. Syst. Softw. Eng. 10(2), 77–91 (2014), https://doi.org/10.1007/s11334-013-0225-8]
(3) One self-collected dataset: 10 proprietary SRS from different companies and domains.</t>
  </si>
  <si>
    <t>Structure: Textual requirements specifications.
Size:
(1) PURE: 79 SRSs documents with 34268 sentences
(2) Reconstructed ARM: Not specified.
(3) Self-collected: No of pages, respectively: 69, 17, 23, 15, 42, 14, 26, 44, 34, 15.</t>
  </si>
  <si>
    <t>Mixed: Open-Source (Method development), Industrial (Method evaluation)</t>
  </si>
  <si>
    <t>Part of requirements (Benchmak dataset) is labeled by experts. Additionally, correct requirements quality assessments are included into benchmark dataset for future use.</t>
  </si>
  <si>
    <t>NLP used for feature extraction (extraction of measurable quality aspects and indicators from requirements specification text).
Quality assessment based on clustering and Case-Based Reasoning applied on extracted features.</t>
  </si>
  <si>
    <t>Approach: Quality assessments proposed by the automatic method were compared to baseline assessments provided by human expects:
Metric: Agreement percentage (reliability) between experts and the automatic method, calculated by Krippendorff ’s Alpha, where α is a statistical measure used to assess the reliability coefficient between two or more observations.</t>
  </si>
  <si>
    <t>Krippendorff ’s Alpha = 78% total agreement with the tested
methods and software engineering experts</t>
  </si>
  <si>
    <t>Standalone</t>
  </si>
  <si>
    <t>AQA-SRS [No link provided]</t>
  </si>
  <si>
    <t>compare Extractive QA and text-to-text generation methods</t>
  </si>
  <si>
    <t>Requirement-level: Unambiguous, Understandable, Correctness, Verifiable
SRS Document-level: Internal Consistency, Non-redundancy, Completeness, Conciseness</t>
  </si>
  <si>
    <t>830-1998 - IEEE Recommended Practice for Software Requirements Specifications
Superseded by ISO/IEC/IEEE 29148:2018 Systems and software engineering - Life cycle processes - Requirements engineering</t>
  </si>
  <si>
    <t>Evaluate, explain, improve</t>
  </si>
  <si>
    <t>Agreement 5-Grade Likert Scale</t>
  </si>
  <si>
    <t>Fictive case of designing a university’s student club management web portal. Benchmark requirements specification document was specified by human experts (software engineering experts from academia and industry).</t>
  </si>
  <si>
    <t>Not specified</t>
  </si>
  <si>
    <t>Requirements specification document (SRS), including: SRS includes the problem background, information about stakeholders, functional and non-functional requirements, and use cases.</t>
  </si>
  <si>
    <t>Quality of requrements was assessed by human experts (benchmark set).</t>
  </si>
  <si>
    <t>CharGPT-4, CodeLlama34b</t>
  </si>
  <si>
    <t>LLM input: Prompt + Context
Context: Quality aspects on which requirements shall be evaluated
Prompt: Requirments specification
Application: Iterative evaluation + correction conversation:
1) Evaluate individual requirements in a section on a scale of 1 to 5 with justifications for the corresponding rating on each parameter.
2) Reformat the evaluations into a table with the section, the requirement number, the ratings for the four parameters, and the justifications for the ratings.
3) Prompt the LLM to correct the requirements that did not obtain perfect ratings in any of the four parameters.
Experiment: Comparison of requirements defined by human epert, ChatGPT-4 and CodelLama34b using the pre-defined Q-aspects, measured on 5-grade likert scala.
Goodnes of LLM-based requirements quality evaluation determined though comparison of the mean deviations of the ratings provided by LLMs and the averaged ratings from the human graders for each requirement.</t>
  </si>
  <si>
    <t>ChatGPT consistently has a lower mean deviation than CodeLlama, remaining under ±1 for the vast majority of cases, indicating that it generally agrees with the human grades. CodeLlama gave scores of 4 and 5 to all requirements in unambiguity, significantly poor scores compared to both ChatGPT and the humans for correctness and verifiability, leading to large negative deviations.
CodeLlama, ChatGPT provided verbose and constructive feedback for each parameter, often aligning with the feedback given by human graders.</t>
  </si>
  <si>
    <t>numerical results indicate that the extractive QA approaches</t>
  </si>
  <si>
    <t>Intra-Domain / Cross-domain ambiguity (deifned as multiple meanings of commonly used terms in different application domains).</t>
  </si>
  <si>
    <t>Related literature (other publications)</t>
  </si>
  <si>
    <t>Number of context clusters (domain clusters) in which given term occurs (the more clustes, the more ambigous is the term).</t>
  </si>
  <si>
    <t>(1) Wikipedia: "computer-science" specific corpora created by crawling the CS category on Wikipedia
(2) PUblic REquirements dataset (PURE)</t>
  </si>
  <si>
    <t>Wikipedia: Crawled subcategories. The maximum number of pages that can be downloaded for a category has been restricted to 10,000.
PURE: 79 publicly available natural-language requirements documents collected from the Web and it includes 34,268 sentences</t>
  </si>
  <si>
    <t>Text corpora:
Wikipedia (for specific domain: computer science)
PURE: Software requirements</t>
  </si>
  <si>
    <t>No
(Unsupervised learning)</t>
  </si>
  <si>
    <t>BERT: embeddings
k-means: clustering</t>
  </si>
  <si>
    <t>Subjective evlauation: Two authors involved in the process of manual analysis of context clusters to assess the variation of meaning of the term in different sentences.</t>
  </si>
  <si>
    <t>generally outperform the text generation-based T5 methods. 
also very effective for identifying intra-domain ambiguities</t>
  </si>
  <si>
    <t>TABASCO</t>
  </si>
  <si>
    <t>https://github.com/ScienceofComputerProgramming/SCICO-D-22-00269</t>
  </si>
  <si>
    <t>However, in some cases, the performance of the T5 model is</t>
  </si>
  <si>
    <t>competitive or even better than the QA approaches.</t>
  </si>
  <si>
    <t>Study adapted 7 out of 13 quality citeria defined in the Quality User Story (QUS) framework (Lucassen et al. 2016) divided in to 3 categories: - Well-formed: A user story includes at least a role and a means. - Atomic: A user story expresses a requirement for exactly one feature. - Minimal: A user story contains nothing more than role, means, and ends.
- Conceptually sound: The means expresses a feature and the ends expresses a rationale.
- Unambiguous: A user story avoids terms or abstractions that lead to multiple interpretations.
- Full sentence: A user story is a well-formed full sentence.
- Estimatable: A story does not denote a coarse-grained requirement that is difficult to plan and prioritize.</t>
  </si>
  <si>
    <t>Lucassen, G., Dalpiaz, F., van der Werf, J.M.E.M. et al. Improving agile requirements: the Quality User Story framework and tool. Requirements Eng 21, 383–403 (2016).</t>
  </si>
  <si>
    <t>Binary for each criterion: Yes/No</t>
  </si>
  <si>
    <t>11 Randomly selected user stories considered in the QUS framework. User stories originate from PhD thesis: T. T˜oemets, Analysing the Quality of User Stories in Open Source Projects. PhD thesis, University of Tartu, 2020.</t>
  </si>
  <si>
    <t>20151 issues from 10 open-source projects (Git repos)</t>
  </si>
  <si>
    <t>User stories</t>
  </si>
  <si>
    <t>Yes
(evaluted by human experts - authors)</t>
  </si>
  <si>
    <t>ChatGPT -3.5</t>
  </si>
  <si>
    <t>Simple % agreement rate on the use case assessments.
Classification performance: precision, recall, specificity, and F1 score.</t>
  </si>
  <si>
    <t>(1) ChatGPT was consistent with itself in 61% of the evaluations, ie.,gave the same response for a given pair {criteria, user story} in three separate runs.
(2) In the subset of evaluations where ChatGPT was consistent across all three runs, the agreement rate with humans was 87%, with precision = 95%, recall = 90%, specificity = 71%, F1 = 92%.
(3) Criteria with the highest and lowest agreement rates differed in the three runs, which suggests that certain criteria may have unclear definitions or abstract qualities that made it difficult for ChatGPT to consistently agree with human evaluators.</t>
  </si>
  <si>
    <t>10.48550/arXiv.2401.01508</t>
  </si>
  <si>
    <t>Two types of semantic conflicts in user stories:
(1) Logical inconsistency: negative contradiction, mutual exclusion contradiction and scope limitation.
(2) Duplicate requirements: Different means, same end and Same means, different end.</t>
  </si>
  <si>
    <t>na</t>
  </si>
  <si>
    <t>Existence of conflct: yes/no</t>
  </si>
  <si>
    <t>Dataset constructed based on 12 publicly avaialble user stories from different domains. The 1 datasets are named BUT reference are not provided.</t>
  </si>
  <si>
    <t>993 user stories</t>
  </si>
  <si>
    <t>Dataset labeled manually by 4 SE students based on semantic rules (classical approach, e.g., based of specific terms used in text).
9060 pairs of user stories, 7913 pairs of conflict free samples and 1147 pairs of conflict samples.</t>
  </si>
  <si>
    <t>GPT-3, RoBERTa, TextCNN
Phase 1. Data augmentation with Multi-Dimensional Augmentation (MDA): on the word,phrase and sentence level/dimension. For Sentence level augmentation GPT-3 was used.
Phase 2. Model construction: Text vectorization layer (using RoBERTa), text feature extraction layer (using TextCNN), feature classiciation layer (using linear transformation and Softmax function).</t>
  </si>
  <si>
    <t>Proposed combined model was compared to individual models (LSTM, CNN, BERT, GPT2, RoBERTa) as well to their dfferent combinatins (BERT-TextCNN, LSTM+Self-Attention, RoBERTa-TextCNN).
Precision, Recall, F1-Score</t>
  </si>
  <si>
    <t>Authors model perfomed best: 95.25% precision, 90.11% recall and 92.18% Fl-Score.</t>
  </si>
  <si>
    <t>none</t>
  </si>
  <si>
    <t>Ambiguity, Completeness
(that may lead to potentially unintended outcomes)</t>
  </si>
  <si>
    <t>(1) Assess ("find points of weakness in a requirement specification")
(2) Propose improvements</t>
  </si>
  <si>
    <t>GenAI (in general)</t>
  </si>
  <si>
    <t>(1) Fuzzy requirements: require domain-specific specialized vocabulary or do not use explicitly specialized terms.
(2) Unverifiable requirements: not humanly controllable, cannot be verified, or are extremely costly to verify.
(3) Incomplete requirements: incompletely expressed or with unplanned content.</t>
  </si>
  <si>
    <t>Binary: yes, no</t>
  </si>
  <si>
    <t>Authors constructed a defective dataset after considering the characteristics of requirement texts to ensure balanced and stable data. Requirements were extracted from 215 requirement texts, generated by experts and professional developers during the actual software development process.</t>
  </si>
  <si>
    <t>Curated a dataset: 10,049 samples</t>
  </si>
  <si>
    <t>Requirementens texts.</t>
  </si>
  <si>
    <t>Yes, but not clear how.
It is only said that: the dataset encompasses
a range of requirement types, including correct requirements,
fuzzy requirements, unverifiable requirements, and incomplete
requirements.
Training, validation and testing sets with ratio of 7:1:2.</t>
  </si>
  <si>
    <t>BERT, TextCNN</t>
  </si>
  <si>
    <t>Classification metrics: Accuracy, Recall, F1-Score</t>
  </si>
  <si>
    <t>F1-Score:
BERT: 0.964
TextCNN: 0.935</t>
  </si>
  <si>
    <t>Keras, Keras_BERT</t>
  </si>
  <si>
    <t>"the system evaluates their quality using the INVEST framework, ensuring they are Independent, Negotiable, Valuable, Estimable, Small and Testable", no detailed defintion</t>
  </si>
  <si>
    <t>reference on INVEST by Wake, B.</t>
  </si>
  <si>
    <t>Analysis, Elicitation</t>
  </si>
  <si>
    <t>"evaluate the generated user stories by analyzing their semantic similarity to the project descriptions" (inputs) using the sentence transformer model all-MiniLM-L6-v2 for semantic similarity score calculation (no specification which similarity score is used). Another metric used is the API response time.</t>
  </si>
  <si>
    <t>Based on a project description of the SDMP project as an input, 8 user stories are generated by GPT3.5 and 9 user stories generated by GPT-4o with a story name and the user story as text given, then being prioritized by both models via the $100 priorization technique</t>
  </si>
  <si>
    <t>given in Table 2. Comparison of user story prioritization by GPT-3.5 and GPT-4o (Based on GPT-3.5 Stories)</t>
  </si>
  <si>
    <t>LLM Models, specifically GPT-3.5, GPT-4o</t>
  </si>
  <si>
    <t>$100 priorization technique, qualitative evaluation of its $-value</t>
  </si>
  <si>
    <t>- Both models largely agree on the user story priorities, which are crucial for the system’s core functionality. - slight differences in the perceived importance of other features implying a divergence in how each model values system extensibility, suggests focusing early development efforts there, while the divergence on other features can inform future strategic decisions based on the project’s goals</t>
  </si>
  <si>
    <t>Ambiguity: " Ambiguity refers to unclear or vague language in requirements, which can lead to multiple interpretations"</t>
  </si>
  <si>
    <t>V. Gervasi, A. Ferrari, D. Zowghi, and P. Spoletini, ‘‘Ambiguity in requirements engineering: Towards a unifying framework,’’</t>
  </si>
  <si>
    <t>TP, TN, FP, FN whether the non ambiguous requirement (positive) has been correctly classified (true)</t>
  </si>
  <si>
    <t>publicly available Software Requirements Dataset repository on Kaggle and the PROMISE dataset on Zenodo, which collectively contained 976 software requirements from various projects</t>
  </si>
  <si>
    <t>"a synthesized dataset of 1,553 requirements spanning 17 diverse project domains, including healthcare, e-commerce, finance, logistics, and retail. This dataset is carefully constructed using real-world requirements from publicly available sources, supplemented by expert annotations to identify ambiguous and non-ambiguous requirements."</t>
  </si>
  <si>
    <t>academic/synthetic</t>
  </si>
  <si>
    <t>yes</t>
  </si>
  <si>
    <t>Hybrid method using random forest, SVM, KNN, LogReg, Decision Tree, Naive Bayes</t>
  </si>
  <si>
    <t>rule-based detection of ambiguous words in a requirement via pattern library of ambiguous words, then sentiment analysis is applied via polarity score (weak correlation of 0.22 between negative sentiment and ambiguous requirement), k-means clustering (k=3), TF-IDF Vectorization to transform input data, to then apply ML methods, evaluate based on accuracy, precision, recall, f1 score</t>
  </si>
  <si>
    <t>hybrid method using random forest had best overall results (accuracy 0.97, precision 0.97), SVM, LogReg and Naive Bayes all had Precision 1.00, KNN had the best training time with 0.001 seconds, while the hybrid method took 0.35 s</t>
  </si>
  <si>
    <t>INVEST, S1 The user story is simple and easy to understand. - IS2 The user story is of the right size (not too long). - S S3 The user story is at a suitable level of detail. - NS4 The user story includes a sufficient description of the task and its goal. - VS5 The user story is technically achievable. - ES6 The AC include sufficient measurable elements for test case. - TS7 The AC are sufficient to validate the story. - T</t>
  </si>
  <si>
    <t>Improve</t>
  </si>
  <si>
    <t>Average ratings (1–5 Scale) of overall satisfaction and quality of user stories for each of the INVEST criteria</t>
  </si>
  <si>
    <t>two user stories, each being improved once by gpt-3.5 and once by gpt-4o via the provided ALAS framework -&gt; six in total</t>
  </si>
  <si>
    <t>no, only scores of different teams compared</t>
  </si>
  <si>
    <t>multi-agent LLM</t>
  </si>
  <si>
    <t>comparison of average scores (1-5) between the original and improved user stories given by 12 responses of 6 agile teams.</t>
  </si>
  <si>
    <t>US1 original - 3.33, US1 improved with GPT-3.5 - 4, US1 improved with GPT-4o - 4; US2 original - 2.79, US2 improved with GPT-3.5 - 3.54, US2 improved with GPT-4o - 3.71</t>
  </si>
  <si>
    <t>• Independent: The US-AC should be as independent as possible. It can be implemented and delivered without being dependent on other stories. • Negotiable: The US-AC is not an explicit contract and should leave space for discussion. It can be rewritten depending on business, market, technical, or any other type of requirement by team members. • Valuable: The US-AC must deliver value to the stakeholders by clearly specifying solutions. • Estimable: The US-AC should be estimable. It is well understood by team members enough to be able to determine its relative size (in development and cost). • Small: The US-AC should not be so big as to become impossible to plan/task/ prioritize within a level of accuracy. • Testable: The US-AC must provide the necessary information to make test development possible.</t>
  </si>
  <si>
    <t>Improve, explain</t>
  </si>
  <si>
    <t>adopted Likert-type questionnaires to explore the INVEST mnemonic for the US-AC. Each attribute of INVEST evaluated using expert opinions on a 5-point Likert scale, where scores of 0-4 represent the scale of poorly, unsatisfactorily, reasonably, satisfactorily, and very satisfactorily. For each individual attribute mean (m) and standard deviation (sd) calculated. m = average score. sd = quantifes the extent of dispersion in the observations. The cumulative means (Avg.) of all the INVEST attributes are subsequently averaged, collectively ofering a comprehensive indicator of the overall satisfaction level on the quality of US-AC</t>
  </si>
  <si>
    <t>publicly available dataset (D) as outlined in Dalpiaz et al. (2019) is utilized</t>
  </si>
  <si>
    <t>Three projects are selected containing diferent sizes of actors (⟨type of user⟩), thereby encompassing anticipated requirements from diverse stakeholders. Project NSF (G11) incorporates multiple actors within its user stories, delineating user needs from both business fow and development progression perspectives. Project UniBath (G24) entails user stories with medium-sized actors predominantly focusing on feature-based descriptions. Conversely, Project Zooniverse (G28) comprises user stories with only a few actors, primarily emphasizing the user fow of both administrative and regular users</t>
  </si>
  <si>
    <t>multi-agent LLMs: gpt-3.5-turbo, text-davinci-003, OpenLLaMA-7b, OpenLLaMA-13b</t>
  </si>
  <si>
    <t>t-test for significane of scores and Cohens' d</t>
  </si>
  <si>
    <t xml:space="preserve">the improvements are statistically signifcant and non-trivial, specifcally in N, V, E, and T. In the case of I, a signifcant improvement is evident within three out of the evaluated baselines, except for OpenLLaMA-13B. Furthermore, the analysis in S reveals a constrained enhancement, as evidenced by p-value and Cohen’s d observed in gpt-3.5-turbo and OpenLLaMA-7B </t>
  </si>
  <si>
    <t>No quality aspects mentioned, but different requirements engineering tasks: 1. Elicitation, 2. Specification, 3. Structuring, 4. Analysis (no detailed description); distinct types of contradictions: Contradictories, Contraries, and Subalterns,</t>
  </si>
  <si>
    <t>Bender, Beate/Gericke, Kilian (2021). Entwickeln der Anforderungsbasis: Requirements Engineering. In: Beate Bender/Kilian Gericke (Eds.). Pahl/Beitz Konstruktionslehre. Berlin, Heidelberg, Springer Berlin Heidelberg, 169–209</t>
  </si>
  <si>
    <t>Predict</t>
  </si>
  <si>
    <t>TP, TN, FP, FN whether the ALICE model has found contradicting requirements or not.</t>
  </si>
  <si>
    <t>Three datasets (Gärtner and Göhlich 2023). Dataset 1 for initial testing during the development of the methodology. Datasets 2 and 3: sourced from a recent real-world electric bus project, which aimed to establish a modular system to replace conventional bus powertrains with climate-friendly electric alternatives. (confidential, precluding public access to anonymize 210 requirement pairs)</t>
  </si>
  <si>
    <t>Overall: 1,071 requirement pairs of Dataset 2 used:verified and categorized for contradictions. (Dataset 3: 3916 requirement pairs, not manually checked (a basis for comparing))</t>
  </si>
  <si>
    <t>LLM Model GPT-3 used, once in a hybrid method "ALICE" (data preprocessing, identifying sentence constituents, analyzing sentence constituents using formal logic and LLMs) and another time in just an LLM method.</t>
  </si>
  <si>
    <t>manually checking for correct labels, accuracy, recall calculated</t>
  </si>
  <si>
    <t>The hybrid method achieved an accuracy of 99% and a recall of 60%. On the other hand, the LLM-only method achieved an accuracy of 97% but had a recall of 0%. The hybrid method detected 60% of all contradictions, whereas the LLM method did not detect any.</t>
  </si>
  <si>
    <t>no quality aspects mentioned (defects)</t>
  </si>
  <si>
    <t>defect detection rate DDR, which was also used in the experiment with human reviewers: DDR = |D^{rev}_{report}| / |D^{doc}_seeded |, where D^{rev} report corresponds to the set of deficits reported by the reviewer rev, and D^{doc} seeded to the set of seeded defects in the requirements document doc. In the case of PBR, they considered either the single perspectives as reviewers rev (i.e., designer, tester, or user), or combined as a reviewer group of three. In the latter case, the joint set of their reported deficits was considered. false discovery rate FDR = |D^{rev}_fp | / |D^{rev}_report|, where D^{rev}_fp refers to the set of false positives, i.e., deficits that are not in the list of seeded defects but reported by the LLM reviewer rev.</t>
  </si>
  <si>
    <t>three requirements documents containing the use case specifications for ABC Video</t>
  </si>
  <si>
    <t xml:space="preserve">Each document contains an introduction and a general product description, where no defects were seeded. Afterwards, there are functional, external interface, and performance requirements, as well as, optionally, attributes and other requirements. These sections may contain seeded defects. There is also a list with defect classes and their definitions. Additionally, an example defect per defect class (from the practice document) is provided. The seeded defects (sample solution) are listed per use case with reference to the page of the requirements document, the requirement name, the defect class, and a description. Another document is the defect report form, which the students received to document their results. It is a table containing the columns Defect Number, Page, [Defect] Class, and Description. </t>
  </si>
  <si>
    <t>LLM Models: GPT-4-Turbo, GPT-3.5-Turbo, Nous Hermes 2, Phi-3-medium</t>
  </si>
  <si>
    <t>The reported defects were manually compared to the list of seeded defects. D^{rev}_report, D^{rev}_seeded, D^{rev}_fp counted</t>
  </si>
  <si>
    <t>the variations only reported between 6 and 11 deficits, with the requirements for PG containing 28 seeded defects and those for ATM 30. For PBR, there are only 11 disjunct reported defects out of a total of 21 reported defects (PG), respectively 27 (ATM) defects reported by the three perspectives. Therefore, the highest possible defect detection rate (DDR) would be 11/28 (39,29%), if every reported defect also matched the sample solution. However, this is not the case. A maximum of 5 reported defects match the sample solution for PG (with PBR) and 3 for ATM (with CBR), which provides the maximum DDR of 5/28 (17,86%).</t>
  </si>
  <si>
    <t>Anaphora.: Resolving pronominal anaphora relation means enabling user to see what written pronoun refers to and re-express the requirements clearly and unambiguously, minimizing the risk of misunderstanding.</t>
  </si>
  <si>
    <t>own</t>
  </si>
  <si>
    <t>evaluate the anaphora resolution models using two definitions of success: full matching (FM) or exact matching and partial matching (PM). The full matching definition considers only the fully matched antecedents, while the partial matching definition allows for overlapping versions of the ground truth.</t>
  </si>
  <si>
    <t>ReqEval and DAMIR</t>
  </si>
  <si>
    <t>The ReqEval dataset contains 98 unique requirements from six different domains, each with at least one pronoun. Five software engineers annotated this dataset. The DAMIR dataset, created by Ezzini et al. [7], deals with anaphoric ambiguity in requirements. It includes 22 industrial requirements specifications from eight domains and consists of 395 sentences</t>
  </si>
  <si>
    <t>For anaphora resolution they used RoBERTa as a baseline, and tested google/flan-t5-small (80M parameters), google/flan-t5-base (250M parameters), google/flan-t5-large (750M parameters) and google/flan-t5-xl (3B parameters). For comparing LLMs, they have chosen the open source LLama3 (meta-llama/Meta-Llama-3-8B) and Mistral (mistralai/Mistral-7B-v0.1), comparing both zero-shot and few-shot learning</t>
  </si>
  <si>
    <t>in numbers of correct values</t>
  </si>
  <si>
    <t>performance of LLama3 and mistral model was significantly lower than of the T5 model. Llama3 with K = 10 examples had the highest score of 76.65, while T5-xl had significantly better results (0.7182 ± 0.0146 for ReqEval with full, 0.9839 ± 0.0206 for ReqEval with partial, 0.9091 ± 0.0253 for DAMIR with full, 0.9889 ± 0.0259 for DAMIR with partial)</t>
  </si>
  <si>
    <t>Appropriate: The level of abstraction is adequate, excludes unnecessary constraints, and avoids implementation details. Complete: All information needed to understand the requirement is included in the description. Conforming: The representation of the requirement follows an approved standard template. Correct: The need is accurately represented in the requirement. Feasible: The requirement is realizable within the given system constraints considering an acceptable risk. Necessary: The requirement defines an essential aspect of the system and is irremovable without causing a deficiency. Singular: The requirement defines only one aspect of the system. Unambiguous: The requirement is clearly stated, understandable, and allows only one interpretation. Verifiable: The requirement is formulated in a way that its fulfillment can be proven or, in the best case, measured.</t>
  </si>
  <si>
    <t>ISO 29148 quality characteristics</t>
  </si>
  <si>
    <t>binary {yes;no} output of the LLM for each quality aspect. Secondly, study participants evaluated the output of the LLM in the following points: The agreement with the LLM’s decision (R1). The plausibility of the LLM’s explanation (R2). The quality of the improved requirement suggested by the LLM (R3).</t>
  </si>
  <si>
    <t xml:space="preserve">Requirements of two projects Stopwatch project and Digital Home project) </t>
  </si>
  <si>
    <t>Stopwatch project, containing 10 prompts synthesised by an LLM of a real world project together with a project description. Digital Home Project: Project contained in the PURE dataset, evaluated by study participants, includes 63  requirements, comprising 42 functional and 21 non-functional requirements.</t>
  </si>
  <si>
    <t>Llama 2 language model with 70 billionparameters, fine-tuned to complete chat responses.</t>
  </si>
  <si>
    <t>measuring "agreement" via Cohen's Kappa metric, also precision, recall measured</t>
  </si>
  <si>
    <t>low precision, indicating incorrectly recognized quality issues. High recall in both projects, indicating, that the LLM efficiently highlighted the correct quality issues. LLM-improved requirements based on the evaluation of study participants by all quality aspects except "feasible" and "necessary" at 100%, singular with 90%. For the Digital Home, 5 out of 9 of the quality aspects had an improvement (90-100%), while the other for have values around 50%-66%.</t>
  </si>
  <si>
    <t>three types of requirements defects: ambiguity (In requirements engineering, ambiguity refers to the potential for a requirement, expressed in NL, to be interpreted in multiple ways), inconsistency (In the context of an SRS document, consistency issues occur when two or more requirements contradict each other), incompleteness (internal completeness, pertains to the system’s functions and qualities as deduced from the requirements document.  external completeness, ensures that the Software Requirements Specification (SRS) encompasses all information suggested by external knowledge sources, such as stakeholders or related documentation (e.g., system descriptions))</t>
  </si>
  <si>
    <t>A. Handbook, From Contract Drafting to Software Specification: Linguistic Sources of Ambiguity, 2003.;  D. Zowghi and V. Gervasi, ‘‘On the interplay between consistency, completeness, and correctness in requirements evolution,’’ Inf. Softw. Technol., vol. 45, no. 14, pp. 993–1009, Nov. 2003.</t>
  </si>
  <si>
    <t>binary {True (accurate detection); False (inaccurate detection)} of the LLM, evaluated by two researchers</t>
  </si>
  <si>
    <t>Mechanical Lung Ventilator (MLV) presented by the ABZ 2024 conference organizers</t>
  </si>
  <si>
    <t>The document on the MLV utilized in our research is an extensive industrial document that presents significant challenges for manual review, unlike the examples in prior studies. This document spans 52 pages, and it is organized into five main sections featuring both textual and visual descriptions. These sections include (1) an introduction, which outlines the history and objective of the MLV; (2) system requirements, detailing the overall system and its requirements; (3) GUI (Graphical User Interface) requirements; (4) controller requirements; and (5) alarms, which are triggered by either the controller or GUI to signal errors and ensure patient safety.</t>
  </si>
  <si>
    <t>LLM: GPT-4</t>
  </si>
  <si>
    <t>precision</t>
  </si>
  <si>
    <t>Ambiguity: precision was highest (0.60) in the System Section, half of the incorrect identifications were linked to deficiencies in domain knowledge, while all four false positives stemmed from context limitations. Precision was lowest (0.17) in the Controller Section, seven of these false positives were due to context limitations, and five related to gaps in domain knowledge. Inconsistency: Precision over all sections is closer together, ranging from 0.33 in the Controller and Alarm Section (These false positives are linked to GPT-4’s limited ability to connect related requirements within a localized context.) to 0.57 in the System Section (Out of 3 FP, two were significant, with importance ratings of 5 and 4, respectively.). Completeness: precisino scores are closest together over all sections, ranging from 0.5 in the Controller Section (resulting from a lack of global context when evaluating the requirements) to 0.67 in the GUI and Alarm Section (The false positive resulted from incomplete figure descriptions, indicating a limitation in consolidating local context before flagging a completeness defect, inability to incorporate global context.).</t>
  </si>
  <si>
    <t>external and internal quality attributes: NFRs can specify constraints concerning the internal and
external quality, placing restrictions on both the software
product and the development process [24]. The first type
can be described as quality attributes important primarily
to developers, whereas the second as quality attributes
important primarily to users [24]. Examples of NFRs
related to internal quality are maintainability, testability, and
portability. On the other hand, performance, security, and
reliability are examples of external quality NFRs</t>
  </si>
  <si>
    <t>J. Eckhardt, ‘‘Categorizations of product-related requirements in practice,’’ Doctoral dissertation, Institut für Informatik, Technische Universität München, Munich, Germany, 2017.</t>
  </si>
  <si>
    <t>elicitate</t>
  </si>
  <si>
    <t>binary: relevant recommendations, returned recommendations</t>
  </si>
  <si>
    <t>own dataset extracted from web information system projects, 55 different settings, only 5 examples given</t>
  </si>
  <si>
    <t>To represent FRs, we gathered information from structured USs, tasks, and project’s profiles. First, we retrieved information about the module, operation, and related tasks of each FR. The taxonomy for user stories, with the support of the NFRec tool, enables the retrieval of this information. Then, from the project’s profile, we gathered information about the tags referring to the five features that support the elicitation of NFRs (i.e., application domain, platform, project objective, software architecture, and development technologies). On the other hand, to represent NFRs, we extracted information from the NFR structured model. For each NFR, we retrieve its type, attribute, and sentence. Finally, we extracted information about the links between FRs and NFRs.</t>
  </si>
  <si>
    <t>KNN via manhattan distance</t>
  </si>
  <si>
    <t>precision, recall, f measure, ANOVA and Friedmann Test</t>
  </si>
  <si>
    <t>average precision for k = 1 78,5 %, average recall for k = 1 81,6%, average f measure: 79,0% for k =1,... monotonically de /increasing. to average precision of 59,7% for k = 11 and average recall of 91,90%, average f1 of 71,40%</t>
  </si>
  <si>
    <t>GRL bad smells: - overly ambitious actor - overly operationalized actor - deep hierarchical refinement - highly coupled element</t>
  </si>
  <si>
    <t>use</t>
  </si>
  <si>
    <t>other</t>
  </si>
  <si>
    <t>binary: number of existing instances, number of detected instances, detected by metric value &gt; metric threshold</t>
  </si>
  <si>
    <t>tested tool on 5 models</t>
  </si>
  <si>
    <t>5 models of different sizes (i.e., number of intentional elements and links) that belong to different domains (health sector, food industry, sports, financial services, and organizational sector),</t>
  </si>
  <si>
    <t>metric thresholds set for each of the requirement smells</t>
  </si>
  <si>
    <t>precision, recall</t>
  </si>
  <si>
    <t>100% precision and 100% recall, because the tool detects the infected instances of the five models correctlx</t>
  </si>
  <si>
    <t>GSDetector</t>
  </si>
  <si>
    <t>GRL-Bad-Smell-Detection/Deverlopers' Guide.md at master · MawalMohammed/GRL-Bad-Smell-Detection · GitHub</t>
  </si>
  <si>
    <t>1) Readability: User stories should be easy to read for
everyone including developers and clients/stakeholders.
2) Understandability: a) Each user story should deliver
value to the end-user or customer. It should address a
specific need or provide a solution to a problem. b).
User stories should be clear, measurable, and acceptance
criteria must be defined.
3) Specificity a) User stories should focus on a specific
aspect of functionality. b) User stories should be specific
and small enough to be completed within a single iteration or sprint. c) Each user story should be self-contained
and independent, allowing it to be implemented and
tested without reliance on other stories.
4) Technical Aspects a) Each user story should deliver
technical details to the developers. b) It should provide
technical insight about what to address for the specific
need of the problem specified.</t>
  </si>
  <si>
    <t>own / state-of-the-art</t>
  </si>
  <si>
    <t>analyse</t>
  </si>
  <si>
    <t>values of RUST (Readability, Understandability, Specificity, Technical aspects) survey questionaire used as ground truth: 1 to 5, where 1 is poorest feedback, 5 most positive</t>
  </si>
  <si>
    <t>medium, 6th from disclosed source</t>
  </si>
  <si>
    <t>six mid-sized RE documents, D1: Insulin Pump, D2: Finance Management, D3: Mental Health Care System, D4: Wellness Center, D5: Weather Station, and D6: Event management.</t>
  </si>
  <si>
    <t>BertScore, AlignScore of description calculated</t>
  </si>
  <si>
    <t>BertScore, AlignScore</t>
  </si>
  <si>
    <t>maximum bert score of 0.86 by Geneus, 0.78 of baseline; average: 0.55 by Geneus, 0.61 by baseline; maximum AlignScore of 0.99 by Geneus, 0.95 by Baseline, median AlignScore 0.9 by Geneus, 0.58 by baseline</t>
  </si>
  <si>
    <t>Geneus</t>
  </si>
  <si>
    <t>http://64.23.208.52/</t>
  </si>
  <si>
    <t>requirement smell classes: superlative, phrase, comparative phrase, subjective language, vague pronoun, loopholes, ambiguous adverbs and adjectives, negative statements, open-ended non-verifiable term, passive voice</t>
  </si>
  <si>
    <t>ISO-29148-2011, own further development</t>
  </si>
  <si>
    <t>assess, predict</t>
  </si>
  <si>
    <t>binary</t>
  </si>
  <si>
    <t>own dataset combined of different sources like ZENODO, Kaggle, academic and business software projects</t>
  </si>
  <si>
    <t>3100 functional and non-functional requirements written in
English. We obtained requirements from SRS of various aca_x0002_demic and business software projects as well as from different
software-related books. 880 requirements are collected from
ZENODO and Kaggle [15] online repositories</t>
  </si>
  <si>
    <t>NLP methods, using TF-IDF, BOW, then LR, SVM, KNN, DT, multinomial NB to build model</t>
  </si>
  <si>
    <t>accuracy, precision, recall, f1-score</t>
  </si>
  <si>
    <t>LR has highest values across all metrics for TF-IDF with 0.94 / 0.95. SVM below that with 0.93 / 0.92, KNN performs worst with TF-IDF values of 0.7, BOW 0.64 precision down to 0.60 accuracy</t>
  </si>
  <si>
    <t>QA1: Research Objectives and Questions</t>
  </si>
  <si>
    <t>QA2: Study Scope and Constraints</t>
  </si>
  <si>
    <t>QA3: Study Design and Methodology</t>
  </si>
  <si>
    <t>QA4: Replication package</t>
  </si>
  <si>
    <t>QA5: Results presentation</t>
  </si>
  <si>
    <t>QA6: Threats to Validity</t>
  </si>
  <si>
    <t>overall reached points</t>
  </si>
  <si>
    <t>overall possible points</t>
  </si>
  <si>
    <t>score in percent</t>
  </si>
  <si>
    <t>QA Evaluation of quality</t>
  </si>
  <si>
    <r>
      <t>Technology adoption performance evaluation</t>
    </r>
    <r>
      <rPr>
        <sz val="11"/>
        <color theme="1"/>
        <rFont val="Aptos Narrow"/>
        <family val="2"/>
        <scheme val="minor"/>
      </rPr>
      <t xml:space="preserve"> applied to testing industrial REST APIs</t>
    </r>
  </si>
  <si>
    <r>
      <t>Classification</t>
    </r>
    <r>
      <rPr>
        <sz val="11"/>
        <color theme="1"/>
        <rFont val="Aptos Narrow"/>
        <family val="2"/>
        <scheme val="minor"/>
      </rPr>
      <t xml:space="preserve"> of Crowd-Based Software Requirements via Unsupervised Learning</t>
    </r>
  </si>
  <si>
    <r>
      <t xml:space="preserve">Crowd-based requirements engineering (CrowdRE) involves large scale user participation in RE related tasks. In order to extract meaningful insights, supervised machine learning techniques (SML) have been used in the literature for the classification of crowd-based software requirements. These techniques involve training ML models which requires a lot of time, computational resources and high quality labeled data which is extremely rare to obtain in the context of CrowdRE. We focus on the problem of </t>
    </r>
    <r>
      <rPr>
        <sz val="11"/>
        <color theme="1"/>
        <rFont val="Aptos Narrow"/>
        <family val="2"/>
        <scheme val="minor"/>
      </rPr>
      <t>classifying crowd-based software requirements using unsupervised ML techniques. Our approach involves generating sentence embeddings, evaluating them using information retrieval (IR) measures and applying clustering algorithms on the best performing sentence embeddings. In the last step, we apply topic modeling using BERTopic followed by the manual labeling of clusters. We also provide the option of automated labeling of these clusters using the idea of semantic similarity. We have applied our approach to a large-sized dataset with around 3000 crowd-generated requirements for smart home applications. We have experimented with both binary and multi-class classification problems, e.g., tertiary, quaternary and quinary classification. Our experimental results demonstrate that this approach can be very useful for the classification of crowd-based software requirements in the absence of labeled data. Additionally, our approach can also be used to analyse and identify labeling related issues in the dataset which may be useful for improving the quality of existing ground truth data. © The Author(s), under exclusive license to Springer Nature Switzerland AG 2024.</t>
    </r>
  </si>
  <si>
    <r>
      <t xml:space="preserve">As part of knowledge engineering workflows, semantic artifacts, such as ontologies, knowledge graphs or semantic descriptions based on industrial standards, are often validated in terms of their compliance with requirements expressed in natural language (e.g., ontology competency questions, standard specifications). Key to this process is the translation of the requirements in machine-actionable queries (e.g., SPARQL) that can automate the validation process. This manual translation process is time-consuming, error-prone and challenging, especially in areas where domain experts might lack knowledge of semantic technologies. In this paper, we propose a </t>
    </r>
    <r>
      <rPr>
        <sz val="11"/>
        <color theme="1"/>
        <rFont val="Aptos Narrow"/>
        <family val="2"/>
        <scheme val="minor"/>
      </rPr>
      <t>Large Language Models (LLMs) based approach to translate requirements texts into SPARQL queries and test it in validation use cases related to SAREF and OPC UA Robotics. F1 scores of 88–100% indicate the feasibility of the approach and its potential impact on ensuring high quality semantic artifacts and further uptake of the semantic technologies (industrial) domains.  © The Author(s), under exclusive license to Springer Nature Switzerland AG 2025.</t>
    </r>
  </si>
  <si>
    <r>
      <t xml:space="preserve">Leveraging Pre-Trained Large Language Models (LLMs) for On-Premises Comprehensive Automated </t>
    </r>
    <r>
      <rPr>
        <sz val="11"/>
        <color theme="1"/>
        <rFont val="Aptos Narrow"/>
        <family val="2"/>
        <scheme val="minor"/>
      </rPr>
      <t>Test Case Generation: An Empirical Study</t>
    </r>
  </si>
  <si>
    <r>
      <t xml:space="preserve">The pervasive use of textual formats in the documentation of software requirements presents a great opportunity for applying large language models (LLMs) to software engineering tasks. High-quality software requirements not only enhance the manual software development process but also position organizations to fully harness the potential of the emerging LLMs technology. This paper introduces a tailored </t>
    </r>
    <r>
      <rPr>
        <sz val="11"/>
        <color theme="1"/>
        <rFont val="Aptos Narrow"/>
        <family val="2"/>
        <scheme val="minor"/>
      </rPr>
      <t>LLM for automating the generation of code snippets from well-structured requirements documents. This LLM is augmented with knowledge, heuristics, and instructions that are pertinent to the software development process, requirements analysis, object-oriented design, and test-driven development, effectively emulating the expertise of a seasoned software engineer. We introduce a 'Progressive Prompting' method that allows software engineers to engage with this LLM in a stepwise manner. Through this approach, the LLM incrementally tackles software development tasks by interpreting the provided requirements to extract functional requirements, using these to create object-oriented models, and subsequently generating unit tests and code based on the object-oriented designs. We demonstrate the LLM's proficiency in comprehending intricate user requirements and producing robust design and code solutions through a case study focused on the development of a web project. This study underscores the potential of integrating LLMs into the software development workflow to significantly enhance both efficiency and quality. The tailored LLM is available at https://chat.openai.com/g/g-bahoiKzkB-software-engineer-gpt.  © 2024 IEEE.</t>
    </r>
  </si>
  <si>
    <r>
      <t xml:space="preserve">Structured requirements have long been proposed to improve the quality of requirements while facilitating down-stream applications like modeling. Nevertheless, in practice, adopting structures such as templates and semi-formal logic imposes additional training and expertise constraints, limiting their wider adoption. In this paper, we investigate the </t>
    </r>
    <r>
      <rPr>
        <sz val="11"/>
        <color theme="1"/>
        <rFont val="Aptos Narrow"/>
        <family val="2"/>
        <scheme val="minor"/>
      </rPr>
      <t>application of natural language processing (NLP) to translate natural language requirements into structured representations. Existing methodologies have been reported for specific formalisms or requirement types. In this research preview, we go beyond the state-of-the-art by generalizing to generic templates and semi-formal logic. Specifically, we investigate the application of a state-of-the-art pre-trained large language model (LLM), GPT-4. We show preliminary evidence that this new technology can translate natural language requirements to a target template or semi-formal language based on as little as one translation example, as long as the example captures the same structure as the translated requirement. We observe this behavior across three formalisms: a requirements template structure (EARS), a custom minimalistic requirements modeling language for system performance requirements, and a semi-formal structure for linear temporal logic (LTL). We propose a rigorous way to investigate how well these observations are generalized based on this preliminary evidence.  © 2024 IEEE.</t>
    </r>
  </si>
  <si>
    <r>
      <t xml:space="preserve">The quest for achieving completeness in requirements engineering (RE) is a complex challenge that requires innovative approaches to uncover and address hidden or incomplete requirements. This study introduces Quest- RE, a novel methodology leveraging </t>
    </r>
    <r>
      <rPr>
        <sz val="11"/>
        <color theme="1"/>
        <rFont val="Aptos Narrow"/>
        <family val="2"/>
        <scheme val="minor"/>
      </rPr>
      <t>Large Language Models (LLMs), specifically ChatGPT-4, to enhance the RE process through dynamic question generation and exploration strategies. By generating targeted questions referring to requirements, Quest- RE aims to improve communication between stakeholders and the RE team, thereby enhancing precision and completeness of requirements specifications (RS). The approach not only helps to identify gaps and missing elements in the requirements but also facilitates a deeper understanding and critical examination of the documented needs. For a given requirement, Quest- RE uses an algorithmic approach to generate related questions and question objectives. This ensures thorough exploration of each requirement beyond its initial scope. Two illustrative examples, one of it using requirements from the Fault Tolerant System Services (FTSS) and the Scheduling Services of NASA's X-38 Crew Return Vehicle, highlight the practical applicability and effectiveness of the approach in a complex engineering project. The study proposes that the incorporation of LLMs into RE can significantly influence communication and identification of requirements, thereby improving their overall quality. This research contributes to this area by offering an LLM - based approach to improve requirements elicitation and analysis, while also improving the readability and completeness of RS.  © 2024 IEEE.</t>
    </r>
  </si>
  <si>
    <r>
      <t>Evaluating Large Language Models in Exercises of</t>
    </r>
    <r>
      <rPr>
        <sz val="11"/>
        <color theme="1"/>
        <rFont val="Aptos Narrow"/>
        <family val="2"/>
        <scheme val="minor"/>
      </rPr>
      <t xml:space="preserve"> UML Class Diagram Modeling</t>
    </r>
  </si>
  <si>
    <r>
      <t xml:space="preserve">Large Language Models (LLM) have rapidly affirmed in the latest years as a means to support or substitute human actors in a variety of tasks. LLM agents can generate valid software models, because of their inherent ability in evaluating textual requirements provided to them in the form of prompts. The goal of this work is to </t>
    </r>
    <r>
      <rPr>
        <sz val="11"/>
        <color theme="1"/>
        <rFont val="Aptos Narrow"/>
        <family val="2"/>
        <scheme val="minor"/>
      </rPr>
      <t>evaluate the capability of LLM agents to correctly generate UML class diagrams in activities of Requirements Modeling in the field of Software Engineering. Our aim is to evaluate LLMs in an educational setting, i.e., understanding how valuable are the results of LLMs when compared to results made by human actors, and how valuable can LLM be to generate sample solutions to provide to students. For that purpose, we collected 20 exercises from a diverse set of web sources and compared the models generated by a human and an LLM solver in terms of syntactic, semantic, pragmatic correctness, and distance from a provided reference solution. Our results show that the solutions generated by an LLM solver typically present a significantly higher number of errors in terms of semantic quality and textual difference against the provided reference solution, while no significant difference is found in syntactic and pragmatic quality. We can therefore conclude that, with a limited amount of errors mostly related to the textual content of the solution, UML diagrams generated by LLM agents have the same level of understandability as those generated by humans, and exhibit the same frequency in violating rules of UML Class Diagrams.  © 2024 Owner/Author.</t>
    </r>
  </si>
  <si>
    <r>
      <t xml:space="preserve">With the advent of large language models (LLMs), requirements engineers have gained a powerful natural language processing tool to analyze, query, and validate a wide variety of textual artifacts, thus potentially supporting the whole re-quirements engineering process from requirements elicitation to management. However, the input for the requirements engineering process often encompasses a variety of potential information sources in various formats, especially graphical models such as process models. Hence, this work aims to contribute to the state of the art by assessing the feasibility of utilizing graphical process models and their textual representations in the requirements engineering process. In particular, we focus on the </t>
    </r>
    <r>
      <rPr>
        <sz val="11"/>
        <color theme="1"/>
        <rFont val="Aptos Narrow"/>
        <family val="2"/>
        <scheme val="minor"/>
      </rPr>
      <t>extraction of textual process descriptions from process models as i) input for the requirements engineering process and ii) documentation as the result of process-oriented requirements engineering. To this end, we explore, quantify, and compare traditional deterministic and LLM-based extraction methods where the latter includes GPT3, GPT3.5, GPT4, and LLAMA. The evaluation assesses output quality and information loss based on one data set. The results indicate that LLMs produce human-like process descriptions based on the predefined patterns, but apparently lack true comprehension of the process models.  © 2024 IEEE.</t>
    </r>
  </si>
  <si>
    <r>
      <t xml:space="preserve">Enhancing Software Requirements </t>
    </r>
    <r>
      <rPr>
        <sz val="11"/>
        <color theme="1"/>
        <rFont val="Aptos Narrow"/>
        <family val="2"/>
        <scheme val="minor"/>
      </rPr>
      <t>Classification with Machine Learning and Feature Selection Techniques</t>
    </r>
  </si>
  <si>
    <r>
      <t xml:space="preserve">Requirements engineers have the responsibility for </t>
    </r>
    <r>
      <rPr>
        <sz val="11"/>
        <color theme="1"/>
        <rFont val="Aptos Narrow"/>
        <family val="2"/>
        <scheme val="minor"/>
      </rPr>
      <t>classifying software requirements into functional and nonfunctional variants. As software architects need quality requirements to be known to get their job done, machine learning is employed to speed up and add consistency to the process of identifying and categorizing requirements so that effort may be spent more effectively. We experimented with the effects of different machine learning algorithms, as well as different pre-processing and feature selection techniques. It was determined that, for this application, stop words should not be removed and that performing lemmatization on words provides the most effective features for classification. Furthermore, after finalizing our choices of pre-processing techniques and algorithm to use, we proposed a modification to the Extensive Feature Selector by gathering the most distinctive words in each category and using a list of those as our main features. By using a threshold of 0.013, we obtained an F1 score of 0.787, which is an improvement on the base Enhanced Feature Selector’s F1 score of 0.761 with the same number of word features. © The Author(s), under exclusive license to Springer Nature Switzerland AG 2025.</t>
    </r>
  </si>
  <si>
    <r>
      <t xml:space="preserve">Research on the Application of Large Language Models in FPGA Verification Test </t>
    </r>
    <r>
      <rPr>
        <sz val="11"/>
        <color theme="1"/>
        <rFont val="Aptos Narrow"/>
        <family val="2"/>
        <scheme val="minor"/>
      </rPr>
      <t>Requirement Extraction</t>
    </r>
  </si>
  <si>
    <r>
      <t xml:space="preserve">Focusing on the common functions in FPGA verification tests, this study adopts three different prompting strategies—standard prompting, chain-of-thought-based prompting, and example-based prompting—to evaluate the application prospects and performance of large language models (LLMs) in FPGA verification test requirement extraction. The results demonstrate that LLMs show promising application potential in the task of </t>
    </r>
    <r>
      <rPr>
        <sz val="11"/>
        <color theme="1"/>
        <rFont val="Aptos Narrow"/>
        <family val="2"/>
        <scheme val="minor"/>
      </rPr>
      <t>requirement extraction, especially when integrated with an FPGA verification test knowledge base. Among these three strategies, example-based prompting stands out, as it generates high-quality test requirements comparable to those produced by the chain-of-thought-based prompting, while also reducing the time required for strategy formulation. In contrast, standard prompting demonstrates weaker performance in the stability of requirement generation. The findings of this study strongly support the application of LLMs in the task of requirement extraction, and provide valuable insights into developing more efficient and accurate systems for extracting FPGA verification test requirements in the future. ©2024 IEEE.</t>
    </r>
  </si>
  <si>
    <r>
      <t xml:space="preserve">Automated </t>
    </r>
    <r>
      <rPr>
        <sz val="11"/>
        <color theme="1"/>
        <rFont val="Aptos Narrow"/>
        <family val="2"/>
        <scheme val="minor"/>
      </rPr>
      <t>Quality Concerns Extraction from User Stories and Acceptance Criteria for Early Architectural Decisions</t>
    </r>
  </si>
  <si>
    <r>
      <t>User stories serve as a fundamental tool in agile software development methodologies, articulating the functional requirements of a system from an end-user perspective. However, while user stories are crucial for capturing the desired features and functionalities, they frequently overlook the non-functional aspects critical to the system’s success. Despite their paramount importance, these quality concerns often remain implicit or underrepresented in user stories, necessitating a deliberate effort to extract them during the elicitation and architectural analysis phases. Failure to address these quality concerns upfront may lead to poor architectural decisions. Consequently, this oversight may result in sub-optimal system designs, increased development costs, delayed time-to-market, diminished user satisfaction, and increased operational risks. This paper presents an ISO-25010 compliant Transfer Learning approach for</t>
    </r>
    <r>
      <rPr>
        <sz val="11"/>
        <color theme="1"/>
        <rFont val="Aptos Narrow"/>
        <family val="2"/>
        <scheme val="minor"/>
      </rPr>
      <t xml:space="preserve"> automated quality concerns extraction from user stories and corresponding acceptance criteria. The proposed solution is constructed upon the Transformer-based RoBERTa-Large model, leveraging and extending its pre-trained capabilities. This approach proficiently classifies user stories and acceptance criteria into 5 most critical user quality concerns including Usability, Performance, Reliability, Security, and Compatibility. This process involves cleaning and preprocessing the dataset followed by fine-tuning the pre-trained models on the refined data set. A comparative analysis of the Three mainstream BERT variants including RoBERTa-base, DistilBERT and XLNET is also provided. Considering the non-availability of public data sets in this scope, a dataset of approximately 1000 user stories with acceptance criteria was compiled from diverse sources and real-world projects. This dataset was subsequently labeled through an extensive labeling activity. The findings suggest that the RoBERTa-Large fine-tuned variant achieves an impressive level of performance in terms of accuracy, precision, recall and Avg F1 score. © The Author(s), under exclusive license to Springer Nature Switzerland AG 2024.</t>
    </r>
  </si>
  <si>
    <r>
      <t xml:space="preserve">Bringing </t>
    </r>
    <r>
      <rPr>
        <sz val="11"/>
        <color theme="1"/>
        <rFont val="Aptos Narrow"/>
        <family val="2"/>
        <scheme val="minor"/>
      </rPr>
      <t>Legacy Technical Data out of the Shadows Using Modern Digital Enginering Tools</t>
    </r>
  </si>
  <si>
    <r>
      <t xml:space="preserve">Model-Based Systems Engineering (MBSE) and Digital Engineering (DE) are poised to significantly transform the automated test sector. However, the broad integration of these principles is hindered by issues related to the completeness and uniformity of existing technical data. Organizations responsible for automated test systems are often dependent of a diverse array of test requirement documents, ranging from military to contractor standards, with some legacy documents not adhering to any recognized standard or being entirely unavailable. There is a pressing need for mechanisms that can facilitate the transition from these varied legacy formats to contemporary digital engineering tools. This paper proposes a comprehensive strategy and a tooling </t>
    </r>
    <r>
      <rPr>
        <sz val="11"/>
        <color theme="1"/>
        <rFont val="Aptos Narrow"/>
        <family val="2"/>
        <scheme val="minor"/>
      </rPr>
      <t>framework designed to convert a wide range of legacy documents into a unified XML-based model format. It outlines various use cases and tooling frameworks, along with their foundational methodologies. Additionally, the paper examines the effects on the standard timelines for Test Program Set Development and proposes a structure for future innovations that leverage machine learning and artificial intelligence to address some of the sector's most challenging issues. Leveraging artificial intelligence is a key enabler for many of the "legacy document to XML"translation tools presented. Modern Large Language Models (LLM) can recognize patterns in test requirements and discern meaning from the placement of data within a table or flow chart. This is powerful because it can drastically improve the quality and speed at which legacy documents are converted from PDF format to the model-based eXtensible Markup Language (XML) formats like IEEE ATML 1671. When test requirements are clearly defined upfront and not hidden from the engineering organization in legacy documents engineering managers, customers and developers can all better support the end users with accurate and faster Test Program Set development. With models in hand test asset managers will have the luxury of managing obsolescence in automated test equipment by replacing system components with instruments that meet the original Unit Under Test (UUT) requirements rather than continuously replacing instruments with comparable or better instruments in every category to ensure backwards compatibility. This often drives the cost of automated test equipment up drastically compared to the actual need and is particularly an issue when automated test equipment has been refreshed several times and supports hundreds or thousands of legacy tests.  © 2024 IEEE.</t>
    </r>
  </si>
  <si>
    <r>
      <t xml:space="preserve">A </t>
    </r>
    <r>
      <rPr>
        <sz val="11"/>
        <color theme="1"/>
        <rFont val="Aptos Narrow"/>
        <family val="2"/>
        <scheme val="minor"/>
      </rPr>
      <t>Comparative Analysis of ChatGPT-Generated and Human-Written Use Case Descriptions</t>
    </r>
  </si>
  <si>
    <r>
      <t>The development of comprehensive use case descriptions is a critical task in software engineering, providing essential insights for requirement analysis and system design. The advent of advanced natural language processing models, such as ChatGPT, has sparked interest in their potential to automate tasks traditionally performed by humans, including the</t>
    </r>
    <r>
      <rPr>
        <sz val="11"/>
        <color theme="1"/>
        <rFont val="Aptos Narrow"/>
        <family val="2"/>
        <scheme val="minor"/>
      </rPr>
      <t xml:space="preserve"> generation of use case descriptions in software engineering. Understanding the capabilities and limitations of ChatGPT in generating use case descriptions is crucial for software engineers. Without a clear understanding of its performance, practitioners may either overestimate its utility, leading to reliance on suboptimal drafts, or underestimate its capabilities, missing opportunities to streamline the drafting process. This paper addresses how well ChatGPT performs in generating use case descriptions, evaluating their quality compared to human-written descriptions. To do so, we employ a structured approach using established quality guidelines and the concept of "bad smells" for use case descriptions. Our study presents the first attempt to bridge the knowledge gap by offering a comparative analysis of ChatGPT-generated and human-written use case descriptions. By providing an approach to objectively assess ChatGPT’s performance, we highlight its potential and limitations, offering software engineers insights to effectively integrate AI tools into their workflows. © 2024 Copyright held by the owner/author(s).</t>
    </r>
  </si>
  <si>
    <r>
      <t>The system requirements directly affect the quality, cost, and performance of system architecture developed in the detailed design phase, necessitating a comprehensive approach to ensure accuracy, completeness, and clarity. A well-defined set of requirements lays the foundation for developing effective and efficient systems, guiding the architectural design process toward meeting stakeholder expectations while optimizing resource utilization and minimizing potential risks associated with ambiguous or poorly specified requirements. Methodologies for assessing the quality of individual requirements generated during the initial conceptual system design phase are crucial. In this paper, we outline a</t>
    </r>
    <r>
      <rPr>
        <b/>
        <sz val="11"/>
        <color theme="1"/>
        <rFont val="Aptos Narrow"/>
        <family val="2"/>
        <scheme val="minor"/>
      </rPr>
      <t xml:space="preserve"> rule-based natural language processing (NLP) framework for assessing the well-formed quality of individual requirements that conforms to the ISO/IEC/IEEE 29148:2018 (E) requirement standard</t>
    </r>
    <r>
      <rPr>
        <sz val="11"/>
        <color theme="1"/>
        <rFont val="Aptos Narrow"/>
        <family val="2"/>
        <scheme val="minor"/>
      </rPr>
      <t>. We leverage advanced linguistic analysis to automatically evaluate each of the nine essential characteristics —necessary, appropriate, unambiguous, complete, singular, feasible, verifiable, correct, and conforming — prescribed by ISO/IEC/IEEE 29148:2018 (E) to ensure the clarity, completeness, and consistency of individual requirements. The framework assesses requirements at various levels, including token, span, syntactic structure, and sentence levels, to determine compliance with the defined characteristics of well-formed requirements. Furthermore, this work introduces a quantitative metric, the well-formed requirement quality index, which amalgamates these nine characteristics into a scalar value within the range of [0, 1], thereby facilitating a comprehensive assessment of requirement quality. The efficacy of this framework is demonstrated through the evaluation of select requirements samples, offering a means to assess requirement quality and perform quantitative comparisons of individual requirements’ qualities. Copyright © 2024 by ASME.</t>
    </r>
  </si>
  <si>
    <r>
      <t xml:space="preserve">Requirements </t>
    </r>
    <r>
      <rPr>
        <sz val="11"/>
        <color theme="1"/>
        <rFont val="Aptos Narrow"/>
        <family val="2"/>
        <scheme val="minor"/>
      </rPr>
      <t>Classification for Traceability Link Recovery</t>
    </r>
  </si>
  <si>
    <r>
      <t xml:space="preserve">Being aware of and understanding the relations between the requirements of a software system to its other artifacts is crucial for their successful development, maintenance and evolution. There are approaches to automatically recover this traceability information, but they fail to identify the actual relevant parts of the requirements. Recent large language model-based requirements classification approaches have shown to be able to identify aspects and concerns of requirements with promising accuracy. Therefore, we investigate the potential of those </t>
    </r>
    <r>
      <rPr>
        <sz val="11"/>
        <color theme="1"/>
        <rFont val="Aptos Narrow"/>
        <family val="2"/>
        <scheme val="minor"/>
      </rPr>
      <t>classification approaches for identifying irrelevant requirement parts for traceability link recovery between requirements and code. We train the large language model-based requirements classification approach NoRBERT on a new dataset of requirements and their entailed aspects and concerns. We use the results of the classification to filter irrelevant parts of the requirements before recovering trace links with the fine-grained word embedding-based FTLR approach. Two empirical studies show promising results regarding the quality of classification and the impact on traceability link recov-ery. NoRBERT can identify functional and user-related aspects in the requirements with an F I-score of 84 %. With the classification and requirements filtering, the performance of FTLR could be improved significantly and FTLR performs better than state-of-the-art unsupervised traceability link recovery approaches.  © 2024 IEEE.</t>
    </r>
  </si>
  <si>
    <r>
      <t xml:space="preserve">Beyond Agile: NLP-Driven </t>
    </r>
    <r>
      <rPr>
        <sz val="11"/>
        <color theme="1"/>
        <rFont val="Aptos Narrow"/>
        <family val="2"/>
        <scheme val="minor"/>
      </rPr>
      <t>Quality Attributes Retrieval Using ChatGPT in Software Development Strategies</t>
    </r>
  </si>
  <si>
    <r>
      <t>Benchmarking requirement template systems</t>
    </r>
    <r>
      <rPr>
        <sz val="11"/>
        <color theme="1"/>
        <rFont val="Aptos Narrow"/>
        <family val="2"/>
        <scheme val="minor"/>
      </rPr>
      <t>: comparing appropriateness, usability, and expressiveness</t>
    </r>
  </si>
  <si>
    <r>
      <t>Various semi-formal syntax templates for natural language requirements foster to reduce ambiguity while preserving human readability. Existing studies on their effectiveness focus on individual notations only and do not allow to systematically investigate quality benefits. We strive for a comparative benchmark and evaluation of template systems to assist practitioners in selecting appropriate ones and enable researchers to work on pinpoint improvements and domain-specific adaptions. We conduct</t>
    </r>
    <r>
      <rPr>
        <sz val="11"/>
        <color theme="1"/>
        <rFont val="Aptos Narrow"/>
        <family val="2"/>
        <scheme val="minor"/>
      </rPr>
      <t xml:space="preserve"> comparative experiments with five popular template systems—EARS, Adv-EARS, Boilerplates, MASTeR, and SPIDER. First, we compare a control group of free-text requirements and treatment groups of their variants following the different templates. Second, we compare MASTeR and EARS in user experiments for reading and writing. Third, we analyse all five meta-models’ formality and ontological expressiveness based on the Bunge-Wand-Weber reference ontology. The comparison of the requirement phrasings across seven relevant quality characteristics and a dataset of 1764 requirements indicates that, except SPIDER, all template systems have positive effects on all characteristics. In a user experiment with 43 participants, mostly students, we learned that templates are a method that requires substantial prior training and that profound domain knowledge and experience is necessary to understand and write requirements in general. The evaluation of templates systems’ meta-models suggests different levels of formality, modularity, and expressiveness. MASTeR and Boilerplates provide high numbers of variants to express requirements and achieve the best results with respect to completeness. Templates can generally improve various quality factors compared to free text. Although MASTeR leads the field, there is no conclusive favourite choice, as most effect sizes are relatively similar. © The Author(s) 2024.</t>
    </r>
  </si>
  <si>
    <r>
      <t>Refactoring</t>
    </r>
    <r>
      <rPr>
        <sz val="11"/>
        <color theme="1"/>
        <rFont val="Aptos Narrow"/>
        <family val="2"/>
        <scheme val="minor"/>
      </rPr>
      <t xml:space="preserve"> goal-oriented models: a linguistic improvement using large language models</t>
    </r>
  </si>
  <si>
    <r>
      <t xml:space="preserve">Goal-oriented requirements engineering (GORE) facilitates effective communication and collaboration between stakeholders. Using goal models, GORE provides a structured approach to elicit, analyze, and manage requirements from the perspective of stakeholders’ goals and intentions. However, goal models are prone to several poor practices, called bad smells, which can obstruct effective communication between stakeholders. As a result, there might be misinterpretations and inconsistencies in the requirements. Goal models are particularly prone to linguistic bad smells, encompassing unclear or ambiguous goal statements, conflicting or contradictory requirements, and occurrences of misspellings. It is therefore imperative that </t>
    </r>
    <r>
      <rPr>
        <b/>
        <sz val="11"/>
        <color theme="1"/>
        <rFont val="Aptos Narrow"/>
        <family val="2"/>
        <scheme val="minor"/>
      </rPr>
      <t xml:space="preserve">linguistic bad smells </t>
    </r>
    <r>
      <rPr>
        <sz val="11"/>
        <color theme="1"/>
        <rFont val="Aptos Narrow"/>
        <family val="2"/>
        <scheme val="minor"/>
      </rPr>
      <t xml:space="preserve">are identified and addressed in goal models to ensure their quality and accuracy. In this paper, we build upon our previous research by enhancing the catalog of 17 goal-oriented requirements language (GRL) linguistic bad smells. We refine the </t>
    </r>
    <r>
      <rPr>
        <b/>
        <sz val="11"/>
        <color theme="1"/>
        <rFont val="Aptos Narrow"/>
        <family val="2"/>
        <scheme val="minor"/>
      </rPr>
      <t>detection techniques using a combination of NLP-based and LLM-based techniques</t>
    </r>
    <r>
      <rPr>
        <sz val="11"/>
        <color theme="1"/>
        <rFont val="Aptos Narrow"/>
        <family val="2"/>
        <scheme val="minor"/>
      </rPr>
      <t>. These enhancements significantly improved the tool’s detection capabilities compared to our previous work. Furthermore, we offer automated refactoring solutions for 9 of these bad smells through GPT prompts. The remaining four identified bad smells are left to the user’s discretion for refactoring, due to their subjective nature. The detection and refactoring processes are implemented in a tool, tailored to the Textual GRL (TGRL) language. We evaluated the bad smells refactoring approach and tool by administering a questionnaire to 13 participants, who assessed the correctness of the refactoring of 71 linguistic bad smells found in four (4) TGRL models. Participants perceived the refactored sentences as highly correct across the different types of linguistic bad smells. © The Author(s), under exclusive licence to Springer-Verlag GmbH Germany, part of Springer Nature 2024.</t>
    </r>
  </si>
  <si>
    <r>
      <t xml:space="preserve">Increasing Test Coverage by </t>
    </r>
    <r>
      <rPr>
        <sz val="11"/>
        <color theme="1"/>
        <rFont val="Aptos Narrow"/>
        <family val="2"/>
        <scheme val="minor"/>
      </rPr>
      <t>Automating BDD Tests in Proofs of Concepts (POCs) using LLM</t>
    </r>
  </si>
  <si>
    <r>
      <t xml:space="preserve">An exploratory and automated study of </t>
    </r>
    <r>
      <rPr>
        <sz val="11"/>
        <color theme="1"/>
        <rFont val="Aptos Narrow"/>
        <family val="2"/>
        <scheme val="minor"/>
      </rPr>
      <t>sarcasm detection and classification in app stores using fine-tuned deep learning classifiers</t>
    </r>
  </si>
  <si>
    <r>
      <t>Mining software insights:</t>
    </r>
    <r>
      <rPr>
        <sz val="11"/>
        <color theme="1"/>
        <rFont val="Aptos Narrow"/>
        <family val="2"/>
        <scheme val="minor"/>
      </rPr>
      <t xml:space="preserve"> uncovering the frequently occurring issues in low-rating software applications</t>
    </r>
  </si>
  <si>
    <r>
      <t xml:space="preserve">Semi-automated </t>
    </r>
    <r>
      <rPr>
        <sz val="11"/>
        <color theme="1"/>
        <rFont val="Aptos Narrow"/>
        <family val="2"/>
        <scheme val="minor"/>
      </rPr>
      <t>Classification of Non-functional Arabic User Requirements Using NLP Tools</t>
    </r>
  </si>
  <si>
    <r>
      <t xml:space="preserve">Requirements Engineering is the first phase in software development life cycle and it also plays one of the most important and critical roles. The Requirements document mainly contains both Functional Requirements (FR) and Non-Functional Requirements (NFR). NFR specifies the quality attributes of the system including security, reliability, performance, maintainability, scalability, and usability. NFR defines the properties that a software product must have in order to meet the business needs of its users and represent additional constraints on the quality and properties of the software system. When developing a system, the developer has to prioritise the NFR from the user requirements document. Categorising these requirements requires specialised skills, experience, and domain knowledge. This process is a difficult and time-consuming task for developers. It is worthwhile to implement an </t>
    </r>
    <r>
      <rPr>
        <sz val="11"/>
        <color theme="1"/>
        <rFont val="Aptos Narrow"/>
        <family val="2"/>
        <scheme val="minor"/>
      </rPr>
      <t>automated or semi-automated classification of NFR from requirements documents. This procedure reduces the manual work, time, and mental effort associated with identifying specific NFR from a large number of requirements. This research paper gives a brief description of the NFR and its categories then it summarises the relevant previous work regarding NFR classification. The most previous studies that worked on the classification of NFR used machine learning algorithms to build an automated classification. This process needs a large amount of data to handle the learning phase, that is, hard to apply on non-functional user requirements written in languages other than English such as Arabic. © The Author(s), under exclusive license to Springer Nature Switzerland AG 2024.</t>
    </r>
  </si>
  <si>
    <r>
      <t xml:space="preserve">Leveraging Open Source LLMs </t>
    </r>
    <r>
      <rPr>
        <sz val="11"/>
        <color theme="1"/>
        <rFont val="Aptos Narrow"/>
        <family val="2"/>
        <scheme val="minor"/>
      </rPr>
      <t>for Software Engineering Education and Training</t>
    </r>
  </si>
  <si>
    <r>
      <t xml:space="preserve">Generative AI, particularly Large Language Models (LLMs), presents innovative opportunities to </t>
    </r>
    <r>
      <rPr>
        <sz val="11"/>
        <color theme="1"/>
        <rFont val="Aptos Narrow"/>
        <family val="2"/>
        <scheme val="minor"/>
      </rPr>
      <t>enhance software engineering education. Open source LLMs such as LLaMA and Mistral leverage the potential of generative AI offering distinct advantages over proprietary options including transparency, customizability, collaboration, and cost savings. This paper de-velops a catalog of LLM prompt examples tailored for software engineering training, mapped to knowledge areas from the Soft-ware Engineering Body of Knowledge (SWEBoK) framework. Example prompts demonstrate LLMs' capabilities in eliciting requirements, diagram generation, API simulation, effort esti-mation through role-playing, and other areas. The methodology involves evaluating prompt responses from ChatGPT, Mistral, and LLaMA on representative tasks. Quantitative and qualitative analysis assesses quality, usefulness, and correctness. Findings show ChatGPT and Mistral outperforming LLaMA overall, but no model perfectly executes complex interactions. We examine implications and challenges of integrating open source LLMs into classrooms, emphasizing the need for oversight, verification, and prompt design aligned with pedagogical objectives.  © 2024 IEEE.</t>
    </r>
  </si>
  <si>
    <r>
      <t>Development and Validation of AI-Driven NLP Algorithms for </t>
    </r>
    <r>
      <rPr>
        <sz val="11"/>
        <color theme="1"/>
        <rFont val="Aptos Narrow"/>
        <family val="2"/>
        <scheme val="minor"/>
      </rPr>
      <t>Chatbots in Requirement Engineering</t>
    </r>
  </si>
  <si>
    <r>
      <t xml:space="preserve">The present research focused on the use of artificial intelligence (AI) and natural language processing (NLP) techniques in the field of requirements engineering within software development. The primary challenge is the prevention of miscommunication between the customer and the development team. In the worst-case scenario, it might lead to the premature termination of the project. The aim of this project is to develop a prototype of a </t>
    </r>
    <r>
      <rPr>
        <sz val="11"/>
        <color theme="1"/>
        <rFont val="Aptos Narrow"/>
        <family val="2"/>
        <scheme val="minor"/>
      </rPr>
      <t>chatbot able to evaluate consumer needs and suggest potential requests. The first step comprised a thorough evaluation of the chatbot’s requirements, followed by the development of a prototype. Two transformer models have been developed to classify customer input, and an additional model has been established to generate suitable requests. The classification was obtained by assessing the level of detail of the provided user input using a classification model, as well as classifying them based on ISO 25010 (quality criteria for software). Both versions utilized the DistilBERT models as their foundation. A GPT-2 model was trained to generate the inquiry. This approach utilized ambiguous user inputs and generated inquiries to get further information. To determine the user’s intention, it was decided to use RASA software to train an intention module. This module will be able to differentiate between a user’s question and their intention to proceed with the acceptance procedure. The initial classification model achieved an accuracy of 0.7033, whereas the second model had an accuracy of 0.2784. Moreover, the output generated by the GPT model varies only to a limited degree. The quality of the model is directly influenced by the quality of the training data. Increasing the number of data points and balancing the classes can help enhance the model quality. Nevertheless, this scientific work presents a fundamental basis for the possible utilization of transformer models in the field of requirement engineering. Further exploration of the application of NLP approaches using transformer models to understand customer requirements has the potential to reduce the failure rate of software development projects. © The Author(s), under exclusive license to Springer Nature Switzerland AG 2024.</t>
    </r>
  </si>
  <si>
    <r>
      <t xml:space="preserve">TA-Agent: </t>
    </r>
    <r>
      <rPr>
        <sz val="11"/>
        <color theme="1"/>
        <rFont val="Aptos Narrow"/>
        <family val="2"/>
        <scheme val="minor"/>
      </rPr>
      <t>Tool Augmented Based on Iterative Ideas in Software Engineering</t>
    </r>
  </si>
  <si>
    <r>
      <t xml:space="preserve">An LLM-based Multi-stage Approach for </t>
    </r>
    <r>
      <rPr>
        <sz val="11"/>
        <color theme="1"/>
        <rFont val="Aptos Narrow"/>
        <family val="2"/>
        <scheme val="minor"/>
      </rPr>
      <t>Automated Test Case Generation from User Stories</t>
    </r>
  </si>
  <si>
    <r>
      <t xml:space="preserve">Natural language processing (NLP) offers the potential to automate quality assurance of software requirement specifications. Especially large-scale projects involving numerous suppliers can benefit from this improvement. However, due to privacy restrictions and domain- and project-specific vocabulary, as such in the aerospace domain, the availability of SRS documents for training NLP tools is severely limited. To provide a sufficient amount of data, we studied </t>
    </r>
    <r>
      <rPr>
        <sz val="11"/>
        <color theme="1"/>
        <rFont val="Aptos Narrow"/>
        <family val="2"/>
        <scheme val="minor"/>
      </rPr>
      <t>algorithms for the augmentation of textual data. Four algorithms have been studied by expanding a given set of requirements from European Space projects generating correct and incorrect requirements. The study yielded data of poor quality due to insufficient accuracy caused by the domain-specific vocabulary, yet, laid the foundation for the algorithms improvement, which, eventually, resulted in an increased set of requirements, which is 20 times the size of the seed set. Finally, an explorative experiment demonstrated the usability of augmented requirements to support AI-based quality assurance. © The Author(s), under exclusive license to Springer Nature Switzerland AG 2024.</t>
    </r>
  </si>
  <si>
    <r>
      <t xml:space="preserve">Enhancing Software Requirements </t>
    </r>
    <r>
      <rPr>
        <sz val="11"/>
        <color theme="1"/>
        <rFont val="Aptos Narrow"/>
        <family val="2"/>
        <scheme val="minor"/>
      </rPr>
      <t>Classification with Semisupervised GAN-BERT Technique</t>
    </r>
  </si>
  <si>
    <r>
      <t xml:space="preserve">The field of automatic </t>
    </r>
    <r>
      <rPr>
        <sz val="11"/>
        <color theme="1"/>
        <rFont val="Aptos Narrow"/>
        <family val="2"/>
        <scheme val="minor"/>
      </rPr>
      <t>detection of quality attributes from software requirements' text stands as one of the most pioneering realms within software requirements research. Such automatic quality attributes aim to aid stakeholders in establishing the system architecture and preemptively circumventing faults. A considerable number of classifier models have been put forward, many of which show encouraging results. However, our analysis has identified substantial gaps in these studies, including (a) a limited dataset volume, (b) the absence of an evaluation study for cross-domain test sets, (c) the problem of real-time prediction scenarios where a vast amount of unlabeled data floods the system each second, and (d) a dearth of comparative studies scrutinizing diverse software requirements datasets and multiple machine learning models, with particular emphasis on in-domain and cross-domain testing. Hence, there is a pressing need to construct an alternative framework to enhance classifier performance under such conditions. Our research is primarily centered on developing a semisupervised methodology that hinges on GAN-BERT, introducing two datasets for the requirements of the engineering community and delivering comparative studies that consider a variety of classifiers and two labeling paradigms, namely, binary and multi. Remarkably, even with fewer data in a multiclassification scenario, our model outperforms other classifiers when assessing data from both identical and different domains.  © 2024 Gregorius Airlangga.</t>
    </r>
  </si>
  <si>
    <r>
      <t xml:space="preserve">The creation of a Software Requirements Specification (SRS) document is important for any software development project. Given the recent prowess of Large Language Models (LLMs) in answering natural language queries and generating sophisticated textual outputs, our </t>
    </r>
    <r>
      <rPr>
        <sz val="11"/>
        <color theme="1"/>
        <rFont val="Aptos Narrow"/>
        <family val="2"/>
        <scheme val="minor"/>
      </rPr>
      <t>study explores their capability to produce accurate, coherent, and structured drafts of these documents to accelerate the software development lifecycle. We assess the performance of GPT-4 and CodeLlama in drafting an SRS for a university club management system and compare it against human benchmarks using eight distinct criteria. Our results suggest that LLMs can match the output quality of an entry-level software engineer to generate an SRS, delivering complete and consistent drafts. We also evaluate the capabilities of LLMs to identify and rectify problems in a given requirements document. Our experiments indicate that GPT-4 is capable of identifying issues and giving constructive feedback for rectifying them, while CodeLlama's results for validation were not as encouraging. We repeated the generation exercise for four distinct use cases to study the time saved by employing LLMs for SRS generation. The experiment demonstrates that LLMs may facilitate a significant reduction in development time for entry-level software engineers. Hence, we conclude that the LLMs can be gainfully used by software engineers to increase productivity by saving time and effort in generating, validating and rectifying software requirements.  © 2024 IEEE.</t>
    </r>
  </si>
  <si>
    <r>
      <t xml:space="preserve">Leveraging Generative AI Tools to Support the </t>
    </r>
    <r>
      <rPr>
        <sz val="11"/>
        <color theme="1"/>
        <rFont val="Aptos Narrow"/>
        <family val="2"/>
        <scheme val="minor"/>
      </rPr>
      <t>Development of Digital Solutions in Health Care Research: Case Study</t>
    </r>
  </si>
  <si>
    <r>
      <t xml:space="preserve">Background: Generative artificial intelligence has the potential to revolutionize health technology product development by improving coding quality, efficiency, documentation, quality assessment and review, and troubleshooting. Objective: This paper explores the application of a commercially available generative artificial intelligence tool (ChatGPT) to the development of a digital health behavior change intervention designed to support patient engagement in a commercial digital diabetes prevention program. Methods: We examined the capacity, advantages, and limitations of ChatGPT to support digital product idea conceptualization, intervention content development, and the software engineering process, including software </t>
    </r>
    <r>
      <rPr>
        <sz val="11"/>
        <color theme="1"/>
        <rFont val="Aptos Narrow"/>
        <family val="2"/>
        <scheme val="minor"/>
      </rPr>
      <t>requirement generation, software design, and code production. In total, 11 evaluators, each with at least 10 years of experience in fields of study ranging from medicine and implementation science to computer science, participated in the output review process (ChatGPT vs human-generated output). All had familiarity or prior exposure to the original personalized automatic messaging system intervention. The evaluators rated the ChatGPT-produced outputs in terms of understandability, usability, novelty, relevance, completeness, and efficiency. Results: Most metrics received positive scores. We identified that ChatGPT can (1) support developers to achieve high-quality products faster and (2) facilitate nontechnical communication and system understanding between technical and nontechnical team members around the development goal of rapid and easy-to-build computational solutions for medical technologies. Conclusions: ChatGPT can serve as a usable facilitator for researchers engaging in the software development life cycle, from product conceptualization to feature identification and user story development to code generation. Trial Registration: ClinicalTrials.gov NCT04049500; https://clinicaltrials.gov/ct2/show/NCT04049500</t>
    </r>
  </si>
  <si>
    <r>
      <t>Saleem, S.</t>
    </r>
    <r>
      <rPr>
        <sz val="12"/>
        <color theme="1"/>
        <rFont val="Arial"/>
        <family val="2"/>
      </rPr>
      <t>, </t>
    </r>
    <r>
      <rPr>
        <sz val="11"/>
        <color theme="1"/>
        <rFont val="Aptos Narrow"/>
        <family val="2"/>
        <scheme val="minor"/>
      </rPr>
      <t>Asim, M.N.</t>
    </r>
    <r>
      <rPr>
        <sz val="12"/>
        <color theme="1"/>
        <rFont val="Arial"/>
        <family val="2"/>
      </rPr>
      <t>, </t>
    </r>
    <r>
      <rPr>
        <sz val="11"/>
        <color theme="1"/>
        <rFont val="Aptos Narrow"/>
        <family val="2"/>
        <scheme val="minor"/>
      </rPr>
      <t>Dengel, A.</t>
    </r>
  </si>
  <si>
    <r>
      <t>Maalej, W.</t>
    </r>
    <r>
      <rPr>
        <sz val="12"/>
        <color theme="1"/>
        <rFont val="Arial"/>
        <family val="2"/>
      </rPr>
      <t>, </t>
    </r>
    <r>
      <rPr>
        <sz val="11"/>
        <color theme="1"/>
        <rFont val="Aptos Narrow"/>
        <family val="2"/>
        <scheme val="minor"/>
      </rPr>
      <t>Biryuk, V.</t>
    </r>
    <r>
      <rPr>
        <sz val="12"/>
        <color theme="1"/>
        <rFont val="Arial"/>
        <family val="2"/>
      </rPr>
      <t>, </t>
    </r>
    <r>
      <rPr>
        <sz val="11"/>
        <color theme="1"/>
        <rFont val="Aptos Narrow"/>
        <family val="2"/>
        <scheme val="minor"/>
      </rPr>
      <t>Wei, J.</t>
    </r>
    <r>
      <rPr>
        <sz val="12"/>
        <color theme="1"/>
        <rFont val="Arial"/>
        <family val="2"/>
      </rPr>
      <t>, </t>
    </r>
    <r>
      <rPr>
        <sz val="11"/>
        <color theme="1"/>
        <rFont val="Aptos Narrow"/>
        <family val="2"/>
        <scheme val="minor"/>
      </rPr>
      <t>Panse, F.</t>
    </r>
  </si>
  <si>
    <r>
      <t>Amna, A.R.</t>
    </r>
    <r>
      <rPr>
        <sz val="12"/>
        <color theme="1"/>
        <rFont val="Arial"/>
        <family val="2"/>
      </rPr>
      <t>, </t>
    </r>
    <r>
      <rPr>
        <sz val="11"/>
        <color theme="1"/>
        <rFont val="Aptos Narrow"/>
        <family val="2"/>
        <scheme val="minor"/>
      </rPr>
      <t>Wautelet, Y.</t>
    </r>
    <r>
      <rPr>
        <sz val="12"/>
        <color theme="1"/>
        <rFont val="Arial"/>
        <family val="2"/>
      </rPr>
      <t>, </t>
    </r>
    <r>
      <rPr>
        <sz val="11"/>
        <color theme="1"/>
        <rFont val="Aptos Narrow"/>
        <family val="2"/>
        <scheme val="minor"/>
      </rPr>
      <t>Poelmans, S.</t>
    </r>
    <r>
      <rPr>
        <sz val="12"/>
        <color theme="1"/>
        <rFont val="Arial"/>
        <family val="2"/>
      </rPr>
      <t>, </t>
    </r>
    <r>
      <rPr>
        <sz val="11"/>
        <color theme="1"/>
        <rFont val="Aptos Narrow"/>
        <family val="2"/>
        <scheme val="minor"/>
      </rPr>
      <t>Heng, S.</t>
    </r>
    <r>
      <rPr>
        <sz val="12"/>
        <color theme="1"/>
        <rFont val="Arial"/>
        <family val="2"/>
      </rPr>
      <t>, </t>
    </r>
    <r>
      <rPr>
        <sz val="11"/>
        <color theme="1"/>
        <rFont val="Aptos Narrow"/>
        <family val="2"/>
        <scheme val="minor"/>
      </rPr>
      <t>Poels, G.</t>
    </r>
  </si>
  <si>
    <r>
      <t>Khalil, A.</t>
    </r>
    <r>
      <rPr>
        <sz val="12"/>
        <color theme="1"/>
        <rFont val="Arial"/>
        <family val="2"/>
      </rPr>
      <t>, </t>
    </r>
    <r>
      <rPr>
        <sz val="11"/>
        <color theme="1"/>
        <rFont val="Aptos Narrow"/>
        <family val="2"/>
        <scheme val="minor"/>
      </rPr>
      <t>Ettifouri, E.H.</t>
    </r>
    <r>
      <rPr>
        <sz val="12"/>
        <color theme="1"/>
        <rFont val="Arial"/>
        <family val="2"/>
      </rPr>
      <t>, </t>
    </r>
    <r>
      <rPr>
        <sz val="11"/>
        <color theme="1"/>
        <rFont val="Aptos Narrow"/>
        <family val="2"/>
        <scheme val="minor"/>
      </rPr>
      <t>Saber, M.</t>
    </r>
    <r>
      <rPr>
        <sz val="12"/>
        <color theme="1"/>
        <rFont val="Arial"/>
        <family val="2"/>
      </rPr>
      <t>, </t>
    </r>
    <r>
      <rPr>
        <sz val="11"/>
        <color theme="1"/>
        <rFont val="Aptos Narrow"/>
        <family val="2"/>
        <scheme val="minor"/>
      </rPr>
      <t>Belkasmi, M.G.</t>
    </r>
  </si>
  <si>
    <t>Generative AI for Effective Software Development</t>
  </si>
  <si>
    <t>10.1007/978-3-031-55642-5_4</t>
  </si>
  <si>
    <t>https://www.scopus.com/inward/record.uri?eid=2-s2.0-85204316849&amp;doi=10.1007%2f978-3-031-55642-5_4&amp;partnerID=40&amp;md5=d1fbc6b144b097955a9762694e32792a</t>
  </si>
  <si>
    <t>low</t>
  </si>
  <si>
    <t>medium</t>
  </si>
  <si>
    <t>high quality</t>
  </si>
  <si>
    <t>Category</t>
  </si>
  <si>
    <t>Level</t>
  </si>
  <si>
    <t>Q-Aspect</t>
  </si>
  <si>
    <t>Comment</t>
  </si>
  <si>
    <t>NONE</t>
  </si>
  <si>
    <t>UNCLEAR</t>
  </si>
  <si>
    <t>Aspect</t>
  </si>
  <si>
    <t>Req</t>
  </si>
  <si>
    <t>Accurate</t>
  </si>
  <si>
    <t>md</t>
  </si>
  <si>
    <t>Usable</t>
  </si>
  <si>
    <t>Complete</t>
  </si>
  <si>
    <t>[2]</t>
  </si>
  <si>
    <t>[1]</t>
  </si>
  <si>
    <t>(274) Incomplete requirements: incompletely expressed or with unplanned content. (327) All information needed to understand the requirement is included in the description.</t>
  </si>
  <si>
    <t>Correct</t>
  </si>
  <si>
    <t xml:space="preserve">(327)  The need is accurately represented in the requirement. </t>
  </si>
  <si>
    <t>Modifiable</t>
  </si>
  <si>
    <t>Ranked</t>
  </si>
  <si>
    <t>[1] Ranking specification statements according to stability 
and/or importance is established in the requirements 
document’s organization and structure</t>
  </si>
  <si>
    <t>Testable</t>
  </si>
  <si>
    <t>[4]</t>
  </si>
  <si>
    <t>(300) The AC include sufficient measurable elements for test case. The AC are sufficient to validate the story.  (303) The US-AC must provide the necessary information to make test development possible.</t>
  </si>
  <si>
    <t>Traceable</t>
  </si>
  <si>
    <t>Appropriate</t>
  </si>
  <si>
    <t xml:space="preserve">(327) The level of abstraction is adequate, excludes unnecessary constraints, and avoids implementation details. </t>
  </si>
  <si>
    <t>Singular</t>
  </si>
  <si>
    <t>(327) The requirement defines only one aspect of the system.</t>
  </si>
  <si>
    <t>Unambiguity</t>
  </si>
  <si>
    <t>[3]</t>
  </si>
  <si>
    <t xml:space="preserve">(181) Cross-domain ambiguity (deifned as multiple meanings of commonly used terms in different application domains).
(213) Unambiguous: A user story avoids terms or abstractions that lead to multiple interpretations.
(274) Fuzzy requirements: require domain-specific specialized vocabulary or do not use explicitly specialized terms. (327)  The requirement is clearly stated, understandable, and allows only one interpretation. </t>
  </si>
  <si>
    <t>Vagueness</t>
  </si>
  <si>
    <t>Understandable</t>
  </si>
  <si>
    <t>(361) a) Each user story should deliver
value to the end-user or customer. It should address a
specific need or provide a solution to a problem. b).
User stories should be clear, measurable, and acceptance
criteria must be defined.</t>
  </si>
  <si>
    <t>Validatable</t>
  </si>
  <si>
    <t>Verifiable</t>
  </si>
  <si>
    <t>(274) Unverifiable requirements: not humanly controllable, cannot be verified, or are extremely costly to verify. (327)  The requirement is formulated in a way that its fulfillment can be proven or, in the best case, measured.</t>
  </si>
  <si>
    <t>Complexity</t>
  </si>
  <si>
    <t>Influence</t>
  </si>
  <si>
    <t>Imperative</t>
  </si>
  <si>
    <t>[1] words and phrases that command 
that something must be provided</t>
  </si>
  <si>
    <t>Continuance</t>
  </si>
  <si>
    <t>[1] Continuances 
Continuances are phrases such as those listed below that 
follow an imperative and introduce the specification of 
requirements at a lower level. The extent that 
continuances were used was found to be an indication that 
requirements were organized and structured. These 
characteristics contribute to the tractability and 
maintenance of the subject requirement specification</t>
  </si>
  <si>
    <t>Directives</t>
  </si>
  <si>
    <t>[1] category of words and phrases that point 
to illustrative information within the requirements 
document</t>
  </si>
  <si>
    <t>Options</t>
  </si>
  <si>
    <t>[1] Options is the category of words that give the developer 
latitude in satisfying the specification statements that 
contain them</t>
  </si>
  <si>
    <t>Size</t>
  </si>
  <si>
    <t>Weak phrases</t>
  </si>
  <si>
    <t>Vague words</t>
  </si>
  <si>
    <t>Implicit words</t>
  </si>
  <si>
    <t>(sorted into completeness)</t>
  </si>
  <si>
    <t>No. of conjunctions</t>
  </si>
  <si>
    <t>(sorted into unambiguity)</t>
  </si>
  <si>
    <t>Security Statistics</t>
  </si>
  <si>
    <t>Readability Statistics</t>
  </si>
  <si>
    <t>[1]  how easily an adult can read and understand the 
requirements document</t>
  </si>
  <si>
    <t>SRS</t>
  </si>
  <si>
    <t>Internal Consistency</t>
  </si>
  <si>
    <t>(258) Logical inconsistency: negative contradiction, mutual exclusion contradiction and scope limitation.
(258) Duplicate requirements: Different means, same end and Same means, different end</t>
  </si>
  <si>
    <t>Non-redundancy</t>
  </si>
  <si>
    <t>Completeness</t>
  </si>
  <si>
    <t>Conciseness</t>
  </si>
  <si>
    <t>Consistency</t>
  </si>
  <si>
    <t>[6]</t>
  </si>
  <si>
    <t>Well-formed</t>
  </si>
  <si>
    <t xml:space="preserve">(213) Well-formed: A user story includes at least a role and a means. </t>
  </si>
  <si>
    <t>Atomic</t>
  </si>
  <si>
    <t xml:space="preserve">(213) Atomic: A user story expresses a requirement for exactly one feature. </t>
  </si>
  <si>
    <t>Minimal</t>
  </si>
  <si>
    <t>(213) Minimal: A user story contains nothing more than role, means, and ends.</t>
  </si>
  <si>
    <t>Conceptually sound</t>
  </si>
  <si>
    <t>(213) Conceptually sound: The means expresses a feature and the ends expresses a rationale.</t>
  </si>
  <si>
    <t>Full-Sentence</t>
  </si>
  <si>
    <t>(213) Full sentence: A user story is a well-formed full sentence.</t>
  </si>
  <si>
    <t>Estimatable</t>
  </si>
  <si>
    <t>(213) Estimatable: A story does not denote a coarse-grained requirement that is difficult to plan and prioritize. (300) The user story is technically achievable. (303) The US-AC should be estimable. It is well understood by team members enough to be able to determine its relative size (in development and cost).</t>
  </si>
  <si>
    <t>Independent</t>
  </si>
  <si>
    <t xml:space="preserve">(300) The user story is simple and easy to understand. (303)  The US-AC should be as independent as possible. It can be implemented and delivered without being dependent on other stories. </t>
  </si>
  <si>
    <t>Negotiable</t>
  </si>
  <si>
    <t>(300) The user story is at a suitable level of detail.  (303) The US-AC is not an explicit contract and should leave space for discussion. It can be rewritten depending on business, market, technical, or any other type of requirement by team members.</t>
  </si>
  <si>
    <t>Small</t>
  </si>
  <si>
    <t>(300) The user story is of the right size (not too long). (303)  The US-AC should not be so big as to become impossible to plan/task/ prioritize within a level of accuracy.</t>
  </si>
  <si>
    <t>Syntax</t>
  </si>
  <si>
    <t>Incorrect actor syntax</t>
  </si>
  <si>
    <t>Incorrect goal syntax</t>
  </si>
  <si>
    <t>Incorrect softgoal syntax</t>
  </si>
  <si>
    <t>Incorrect task syntax</t>
  </si>
  <si>
    <t>Incorrect resource syntax</t>
  </si>
  <si>
    <t>Punctuation marks</t>
  </si>
  <si>
    <t>Misspellings</t>
  </si>
  <si>
    <t>Semantics</t>
  </si>
  <si>
    <t>Incomplete text</t>
  </si>
  <si>
    <t>Incorrect goal semantics</t>
  </si>
  <si>
    <t>Incorrect softgoal semantics</t>
  </si>
  <si>
    <t>Too specific element</t>
  </si>
  <si>
    <t>Ambiguous element</t>
  </si>
  <si>
    <t>Pragmatics</t>
  </si>
  <si>
    <t>Similar Elements</t>
  </si>
  <si>
    <t>Conflicting goals/tasks</t>
  </si>
  <si>
    <t>Goal/Task and Sub-goal/Sub-task mismatch</t>
  </si>
  <si>
    <t>Element Size</t>
  </si>
  <si>
    <t>Complex Sentences</t>
  </si>
  <si>
    <t>subjective language</t>
  </si>
  <si>
    <t>[9]</t>
  </si>
  <si>
    <t>ambiguous adverbs and adjectives</t>
  </si>
  <si>
    <t>superlatives</t>
  </si>
  <si>
    <t>comparatives</t>
  </si>
  <si>
    <t>vague pronouns</t>
  </si>
  <si>
    <t>Anaphoric ambiguity</t>
  </si>
  <si>
    <t>[5]</t>
  </si>
  <si>
    <t>(326) Resolving pronominal anaphora relation means enabling user to see what written pronoun refers to and re-express the requirements clearly and unambiguously, minimizing the risk of misunderstanding.</t>
  </si>
  <si>
    <t>Valuable</t>
  </si>
  <si>
    <t xml:space="preserve">(300) The user story includes a sufficient description of the task and its goal. (303)  The US-AC must deliver value to the stakeholders by clearly specifying solutions. </t>
  </si>
  <si>
    <t>Ambiguity</t>
  </si>
  <si>
    <t>[7]</t>
  </si>
  <si>
    <t>[8]</t>
  </si>
  <si>
    <t>Contradiction</t>
  </si>
  <si>
    <t>Conforming</t>
  </si>
  <si>
    <t xml:space="preserve">(327) The representation of the requirement follows an approved standard template. </t>
  </si>
  <si>
    <t>Necessary</t>
  </si>
  <si>
    <t xml:space="preserve">(327)  The requirement defines an essential aspect of the system and is irremovable without causing a deficiency. </t>
  </si>
  <si>
    <t>Feasible</t>
  </si>
  <si>
    <t xml:space="preserve">(327) The requirement is realizable within the given system constraints considering an acceptable risk. </t>
  </si>
  <si>
    <t>Inconsistency</t>
  </si>
  <si>
    <t>Incompleteness</t>
  </si>
  <si>
    <t>Readability</t>
  </si>
  <si>
    <t>(361)  User stories should be easy to read for
everyone including developers and clients/stakeholders.</t>
  </si>
  <si>
    <t>Specificity</t>
  </si>
  <si>
    <t>(361) a) User stories should focus on a specific
aspect of functionality. b) User stories should be specific
and small enough to be completed within a single iteration or sprint. c) Each user story should be self-contained
and independent, allowing it to be implemented and
tested without reliance on other stories.</t>
  </si>
  <si>
    <t>Technical Aspect</t>
  </si>
  <si>
    <t>(361)  a) Each user story should deliver
technical details to the developers. b) It should provide
technical insight about what to address for the specific
need of the problem specified.</t>
  </si>
  <si>
    <t>loopholes</t>
  </si>
  <si>
    <t>negative statements</t>
  </si>
  <si>
    <t>open-ended non-verifiable term</t>
  </si>
  <si>
    <t>passive voice</t>
  </si>
  <si>
    <t>Name</t>
  </si>
  <si>
    <t>Ref</t>
  </si>
  <si>
    <t>Remarks</t>
  </si>
  <si>
    <t>Wilson</t>
  </si>
  <si>
    <t>Wilson W.M., Rosenberg L.H., Hyatt L.E.: Automated analysis of requirement specifications. In: Proceedings of the 19th International Conference on Software Engineering, pp. 161–171, BostonMassachusetts USA, (1997)</t>
  </si>
  <si>
    <t>IEEE29148:2018</t>
  </si>
  <si>
    <t>Quality User Story (QUS) framework</t>
  </si>
  <si>
    <t>INVEST</t>
  </si>
  <si>
    <t>Wake,. B.: "INVEST in Good Stories, and SMART Tasks", Blog Post, Posted on August 17, 2003</t>
  </si>
  <si>
    <t>shah</t>
  </si>
  <si>
    <t>Vincenzo</t>
  </si>
  <si>
    <t>Vincenzo Gervasi and Didar Zowghi. Reasoning about inconsistencies in natural language requirements.
ACM Trans. Softw. Eng. Methodol., 14(3):277–330, 2005.</t>
  </si>
  <si>
    <t>V. Gervasi, A. Ferrari, D. Zowghi, and P. Spoletini, ‘‘Ambiguity in requirements engineering: Towards a unifying framework’’</t>
  </si>
  <si>
    <t>Handbook Ambiguity</t>
  </si>
  <si>
    <t>ISO 29148-2011</t>
  </si>
  <si>
    <t>ISO-29148-2011</t>
  </si>
  <si>
    <t>Explain, Understand</t>
  </si>
  <si>
    <t>Assess, Evaluate</t>
  </si>
  <si>
    <t>#</t>
  </si>
  <si>
    <t>Purpose</t>
  </si>
  <si>
    <t>Data Set</t>
  </si>
  <si>
    <t>sum</t>
  </si>
  <si>
    <t>Remark</t>
  </si>
  <si>
    <t>PROMISE</t>
  </si>
  <si>
    <t>(x)</t>
  </si>
  <si>
    <t>PURE</t>
  </si>
  <si>
    <t>PURE (PUblic REquirements dataset) contains a collection of 79 SRSs documents with 34268 sentences; Paper 130 used 2792 requirments.</t>
  </si>
  <si>
    <t>A. Ferrari, G. O. Spagnolo and S. Gnesi, "PURE: A Dataset of Public Requirements Documents," 2017 IEEE 25th International Requirements Engineering Conference (RE), Lisbon, Portugal, 2017, pp. 502-505</t>
  </si>
  <si>
    <t>https://doi.org/10.1109/RE.2017.29</t>
  </si>
  <si>
    <t>ARM (reconstructed)</t>
  </si>
  <si>
    <t xml:space="preserve">Reconstructed ARM, SRS from 4 open-soutrce projects obtained from different websites </t>
  </si>
  <si>
    <t>Carlson N., Laplante P.: The NASA automated requirements measurement tool: A reconstruction. Innov. Syst. Softw. Eng. 10(2), 77–91 (2014)</t>
  </si>
  <si>
    <t>https://doi.org/10.1007/s11334-013-0225-8</t>
  </si>
  <si>
    <t>Club management portal</t>
  </si>
  <si>
    <t>Wikipedia (Text corpora for specific domain: computer science)</t>
  </si>
  <si>
    <t>Wikipedia: "computer-science" specific corpora created by crawling the CS category on Wikipedia</t>
  </si>
  <si>
    <t>QUS Framework (PhD Thesis)</t>
  </si>
  <si>
    <t>11 Randomly selected user stories considered in the QUS framework. User stories originate from PhD thesis.</t>
  </si>
  <si>
    <t>T. T˜oemets, Analysing the Quality of User Stories in Open Source Projects. PhD thesis, University of Tartu, 2020.</t>
  </si>
  <si>
    <t>Synthetic user stories for a mobile delivery application - a tool that helps postal workers prepare and deliver their parcels.</t>
  </si>
  <si>
    <t>University alumni</t>
  </si>
  <si>
    <t xml:space="preserve"> https://github.com/Noufst/TGLR-Bad-Smells</t>
  </si>
  <si>
    <t>Healthcare system</t>
  </si>
  <si>
    <t>Dailmler</t>
  </si>
  <si>
    <t>V. Bertram, S. Maoz, J. O. Ringert, B. Rumpe, and M. von Wenckstern, “Component and Connector Views in Practice: An Experience Report,” in Conference on Model Driven Engineering Languages and Systems (MODELS’17). IEEE, September 2017, pp. 167–177.</t>
  </si>
  <si>
    <t>Ground segment requirements of a meteorological satellite program</t>
  </si>
  <si>
    <t>Coffee Machine</t>
  </si>
  <si>
    <t>E-shop</t>
  </si>
  <si>
    <t>Library</t>
  </si>
  <si>
    <t>ETCS</t>
  </si>
  <si>
    <t>Fischbach et al., 2020</t>
  </si>
  <si>
    <t>Fischbach, Jannik/Hauptmann, Benedikt/Konwitschny, Lukas/Spies, Dominik/Vogelsang, Andreas (2020). Towards Causality Extraction from Requirements. https://doi.org/10.48550/arXiv.2006.15871</t>
  </si>
  <si>
    <t>https://doi.org/10.48550/arXiv.2006.15871</t>
  </si>
  <si>
    <t>Electric bus</t>
  </si>
  <si>
    <t>Göhlich, Dietmar/Fay, Tu-Anh/Jefferies, Dominic/Lauth, Enrico/Kunith, Alexander/Zhang, Xudong (2018). Design of urban electric bus systems. Design Science 4. https://doi.org/10.1017/dsj.2018.10.</t>
  </si>
  <si>
    <t>https://doi.org/10.1017/dsj.2018.10</t>
  </si>
  <si>
    <t>Closed-data from 28 projects</t>
  </si>
  <si>
    <t>ReqEval</t>
  </si>
  <si>
    <t>From 6 different domains</t>
  </si>
  <si>
    <t>DAMIR</t>
  </si>
  <si>
    <t>From 8 different domains</t>
  </si>
  <si>
    <t xml:space="preserve"> S. Ezzini, S. Abualhaija, C. Arora, and M. Sabetzadeh, “Automated handling of anaphoric ambiguity in requirements: a multi-solution study,” in Proceedings of the 44th ICSE, 2022, pp. 187–199.</t>
  </si>
  <si>
    <t>CoNLL2011</t>
  </si>
  <si>
    <t>General-purpose pronoun resolution dataset</t>
  </si>
  <si>
    <t>SDMP</t>
  </si>
  <si>
    <t>Dalpiaz et al. (2019)</t>
  </si>
  <si>
    <t>own data 300</t>
  </si>
  <si>
    <t>own data 305</t>
  </si>
  <si>
    <t>own data 308</t>
  </si>
  <si>
    <t>own data 337</t>
  </si>
  <si>
    <t>own data 361</t>
  </si>
  <si>
    <t>Paper</t>
  </si>
  <si>
    <t>Project Type</t>
  </si>
  <si>
    <t>Availability</t>
  </si>
  <si>
    <t>Context</t>
  </si>
  <si>
    <t>Projects</t>
  </si>
  <si>
    <t>Specification documents</t>
  </si>
  <si>
    <t>Requirements</t>
  </si>
  <si>
    <t>User Stories</t>
  </si>
  <si>
    <t>Sentences</t>
  </si>
  <si>
    <t>Pages</t>
  </si>
  <si>
    <t>Q-Aspects</t>
  </si>
  <si>
    <t>Labeled</t>
  </si>
  <si>
    <t>Labeling Method</t>
  </si>
  <si>
    <t>Labeled data</t>
  </si>
  <si>
    <t>PUblic REquirements dataset</t>
  </si>
  <si>
    <t>Industry</t>
  </si>
  <si>
    <t>Experts</t>
  </si>
  <si>
    <t>Benchmak dataset</t>
  </si>
  <si>
    <t>Ferrari, A., Spagnolo, G. O., &amp; Gnesi, S. (2017). PURE: A Dataset of Public Requirements
Documents. Proceedings - 2017 IEEE 25th International Requirements Engineering
Conference, RE 2017 , 502-505. https://doi.org/10.1109/RE.2017.29</t>
  </si>
  <si>
    <t>Only part of requirements (Benchmak dataset) is labeled</t>
  </si>
  <si>
    <t>reconstruction Automated Requirement Measurement</t>
  </si>
  <si>
    <t>Real</t>
  </si>
  <si>
    <t>Proprietary</t>
  </si>
  <si>
    <t>University’s student club management web portal</t>
  </si>
  <si>
    <t>Synthetic</t>
  </si>
  <si>
    <t>Benchmarkset was labeled</t>
  </si>
  <si>
    <t>QUS framework</t>
  </si>
  <si>
    <t>Evaluation was performed on 11 sampled user stories; user stores were Jira issues of type "Story"</t>
  </si>
  <si>
    <t>Smells found by model are compared to thos found by experts -&gt; no labels needed</t>
  </si>
  <si>
    <t>Daimler</t>
  </si>
  <si>
    <t>Functional requirements for two automotive systems: the Adaptive Light System (ALS) (standard functions) and Advanced Driver Assistance System (ADAS) (speed limit, adaptive cruise control)</t>
  </si>
  <si>
    <t>consistency checking by model and then left out consistencies added by reviewer -&gt; no labels needed</t>
  </si>
  <si>
    <t>Meteo-satellite</t>
  </si>
  <si>
    <t>Requirements that also refer to several other support documents and will be used to train, test, and validate our techniques. In the requirements set, there are approximately 500 abbreviations, custom terms or product names, which are not part of any standard dictionary or reference model</t>
  </si>
  <si>
    <t>Requirements for an automatic coffee vending machine.</t>
  </si>
  <si>
    <t>Requirements for an online shopping system.</t>
  </si>
  <si>
    <t>Requirements for the System Administration Module of an urban library system.</t>
  </si>
  <si>
    <t>Functional requirements for the European Train Control System. Each dataset injected with inconsistent requirements</t>
  </si>
  <si>
    <t>Fischbach et al. 2020</t>
  </si>
  <si>
    <t>Requirements collected from multiple projects</t>
  </si>
  <si>
    <t>300 requirements were selected for the study and translated into English with DeepL</t>
  </si>
  <si>
    <t>Automatic</t>
  </si>
  <si>
    <t>Self-supervised learning to generate labels for each instance automatically, although the ultimate goal of this study is to carry manual labeling once data collection is complete, instead of using self-supervised learning.</t>
  </si>
  <si>
    <t>S. Ezzini, S. Abualhaija, C. Arora, and M. Sabetzadeh, “Automated handling of anaphoric ambiguity in requirements: a multi-solution study,” in Proceedings of the 44th ICSE, 2022, pp. 187–199.</t>
  </si>
  <si>
    <t>From 8 different domains: Data set consists of 342 ambiguous and 395 unambiguous sentences.</t>
  </si>
  <si>
    <t>2011 edition of the Computational Natural Language Learning Conference (CoNLL2011) dataset</t>
  </si>
  <si>
    <t>The dataset consists of 6,757 unique pronouns, all of which are unambiguous and thus, can only be used for anaphora resolution purposes.</t>
  </si>
  <si>
    <t>Quality Metrics</t>
  </si>
  <si>
    <t>Specification Depth</t>
  </si>
  <si>
    <t>Text Structure</t>
  </si>
  <si>
    <t>No. of context clusters</t>
  </si>
  <si>
    <t>Translation accuracy</t>
  </si>
  <si>
    <t>The percentage of correctly translated natural language sentences into LTL formulas.</t>
  </si>
  <si>
    <t>Confidence scores</t>
  </si>
  <si>
    <t>Each sub-translation generated by the tool is accompanied by a confidence score, indicating the system’s certainty in the translation.</t>
  </si>
  <si>
    <t>Translation loops</t>
  </si>
  <si>
    <t>The number of iterations needed by users to correct and refine the translations.</t>
  </si>
  <si>
    <t>semantic similarity</t>
  </si>
  <si>
    <t>average rating 5-Grade Scale of satisfaction</t>
  </si>
  <si>
    <t>Paper 300: Average ratings (1–5 Scale) of overall satisfaction and quality of user stories for each of the INVEST criteria, Paper 361: values of RUST (Readability, Understandability, Specificity, Technical aspects) survey questionaire used as ground truth: 1 to 5, where 1 is poorest feedback, 5 most positive</t>
  </si>
  <si>
    <t>adopted 5-Grade Likert Scale</t>
  </si>
  <si>
    <t>Paper 303:  Each attribute of INVEST evaluated using expert opinions on a 5-point Likert scale, where scores of 0-4 represent the scale of poorly, unsatisfactorily, reasonably, satisfactorily, and very satisfactorily.</t>
  </si>
  <si>
    <t>Defect count</t>
  </si>
  <si>
    <t>AI Method</t>
  </si>
  <si>
    <t>Reference</t>
  </si>
  <si>
    <t>NLP</t>
  </si>
  <si>
    <t>[145] NLP used for feature extraction (extraction of measurable quality aspects and indicators from requirements specification text). Quality assessment based on clustering and Case-Based Reasoning applied on extracted features. [64] Applies an NLP pipeline to create a domain model and requirements model which are then analyzed to detect quality isses. [362] uses TF-IDF, Bag of Words as NLP methods firs</t>
  </si>
  <si>
    <t>GPT-4</t>
  </si>
  <si>
    <t>CodeLlama34b</t>
  </si>
  <si>
    <t>BERT</t>
  </si>
  <si>
    <t>[181] BERT for embeddings; k-means for clustering</t>
  </si>
  <si>
    <t>K-Means Clustering</t>
  </si>
  <si>
    <t>GPT -3.5</t>
  </si>
  <si>
    <t>GPT-3</t>
  </si>
  <si>
    <t xml:space="preserve">[258] Phase 1 (data augmentation) : GPT-3 for sentence level augmentation; Phase 2 (model construction): RoBERTa for text vectorization layer;  </t>
  </si>
  <si>
    <t>RoBERTa</t>
  </si>
  <si>
    <t>TextCNN</t>
  </si>
  <si>
    <t>[258] Phase 2 (model construction): TextCNN  for text feature extraction layer; linear transformation and Softmax function for feature classiciation layer.</t>
  </si>
  <si>
    <t>CNN</t>
  </si>
  <si>
    <t>[64] Research plan of using approach presented in [Winkler and Vogelsang, 2016]</t>
  </si>
  <si>
    <t>Natural Language Inference (NLI)</t>
  </si>
  <si>
    <t>GPT-J-6B</t>
  </si>
  <si>
    <t>Knn-Augmented in-conText Example selection (KATE): Consistency Check</t>
  </si>
  <si>
    <t>Knn-Augmented in-conText Example selection (KATE) (Cosine similarity)</t>
  </si>
  <si>
    <t>Codex (LLM)</t>
  </si>
  <si>
    <t>LLM used to decompose and translate NL requirements into formal specification to easier detect and resolve ambiiguities.</t>
  </si>
  <si>
    <t>Bloom (LLM)</t>
  </si>
  <si>
    <t>Naïve Bayes (NB)</t>
  </si>
  <si>
    <t xml:space="preserve">[112] Uses a bag-of-words model for the document and then classification methods: Naïve Bayes and k-NN </t>
  </si>
  <si>
    <t>k-Nearest Neighbor (kNN)</t>
  </si>
  <si>
    <t>[112] Uses a bag-of-words model for the document and then classification methods: Naïve Bayes and k-NN [362] uses TF-IDF, Bag of Words as NLP methods firs</t>
  </si>
  <si>
    <t>LSTM</t>
  </si>
  <si>
    <t>Multilayer Perceptron (MLP)</t>
  </si>
  <si>
    <t>[130] Uses embeddings with word-1-grams and TFIDF on requiremet documens and them applies classificaiton methods: MLP and SVN</t>
  </si>
  <si>
    <t>Support Vector Machine (SVM)</t>
  </si>
  <si>
    <t>[130] Uses embeddings with word-1-grams and TFIDF on requiremet documens and them applies classificaiton methods: MLP and SVN: [140] uses to original natural-language (NL) requirements the TF-IDF method to assesses the importance of a word in a corpus OR a combination of FastText and GloVe word embeddingand and then on the outcome SVM classifier is applied. [362] uses TF-IDF, Bag of Words as NLP methods firs</t>
  </si>
  <si>
    <t>SBERT</t>
  </si>
  <si>
    <t>DistilBERT</t>
  </si>
  <si>
    <t>DeBERTaV3</t>
  </si>
  <si>
    <t>SpanBER</t>
  </si>
  <si>
    <t>Universal Semantic Encoder (USM)</t>
  </si>
  <si>
    <t>Random Forest</t>
  </si>
  <si>
    <t>Logistic Regression</t>
  </si>
  <si>
    <t>[362] uses TF-IDF, Bag of Words as NLP methods firs</t>
  </si>
  <si>
    <t>Decision Tree</t>
  </si>
  <si>
    <t>text-davinci</t>
  </si>
  <si>
    <t>OpenLLaMA (LLM)</t>
  </si>
  <si>
    <t>Nous Hermes 2 (LLM)</t>
  </si>
  <si>
    <t>Phi-3-medium (LLM)</t>
  </si>
  <si>
    <t>google-flan</t>
  </si>
  <si>
    <t>LLama3</t>
  </si>
  <si>
    <t>Mistral</t>
  </si>
  <si>
    <t>LLama2</t>
  </si>
  <si>
    <t>multinomial Naive Bayes</t>
  </si>
  <si>
    <t>Evaluation Method</t>
  </si>
  <si>
    <t>Agreement (e.g., %) between model and benchmark (experts, ground truth, etc.)</t>
  </si>
  <si>
    <t>[145] Agreement percentage (reliability) between experts and the automatic method, calculated by Krippendorff ’s Alpha; [74]Number of ambiguities found vs. actually present.</t>
  </si>
  <si>
    <t>Mean deviation between model and experts</t>
  </si>
  <si>
    <t>[158] Iterative evaluation + correction conversation: LLM evaluates, LLM corrects low-scored requirements</t>
  </si>
  <si>
    <t>Expert's subjective evaluation: model's efficiency</t>
  </si>
  <si>
    <t>[181] Two authors involved in the process of manual analysis of context clusters to assess the variation of meaning of the term in different sentences.</t>
  </si>
  <si>
    <t>Absolute correct values (TP)</t>
  </si>
  <si>
    <t>F1</t>
  </si>
  <si>
    <t>F2</t>
  </si>
  <si>
    <t>Recall</t>
  </si>
  <si>
    <t>Precision</t>
  </si>
  <si>
    <t>Accuracy</t>
  </si>
  <si>
    <t>Consistency over multiple runs</t>
  </si>
  <si>
    <t>Expert's subjective evaluation: overall satisfaction</t>
  </si>
  <si>
    <t>BLEU score</t>
  </si>
  <si>
    <t>Manual metric defined in 6 steps</t>
  </si>
  <si>
    <t>K. Papineni, S. Roukos, T. Ward, and W.-J. Zhu, “Bleu: a method for Automatic evaluation of machine translation,” in Proceedings of the 40th Annual Meeting of the Association for Computational Linguistics. Philadelphia, Pennsylvania, USA: Association for Computational Linguistics, Jul. 2002, pp. 311–318.</t>
  </si>
  <si>
    <t>https://aclanthology.org/P02-1040</t>
  </si>
  <si>
    <t>SE score</t>
  </si>
  <si>
    <t>V. Bertram, M. Boß, E. Kusmenko, I. Nachmann, B. Rumpe, D. Trotta,
and L. Wachtmeister, “Neural Language Models and Few-Shot
Learning for Systematic Requirements Processing in MDSE,” in
International Conference on Software Language Engineering (SLE’22). ACM, December 2022, pp. 260–265.</t>
  </si>
  <si>
    <t>http://www.se-rwth.de/publications/Neural-Language-Models-and-Few-Shot-Learning-for-Systematic-Requirements-Processing-in-MDSE.pdf</t>
  </si>
  <si>
    <t>Expert's subjective evaluation: 100 Dollar Priorization Technique</t>
  </si>
  <si>
    <t>Definition of "Wiegers, K.E., Beatty, J.: Software requirements, Pearson Education (2013)"</t>
  </si>
  <si>
    <t>Defect Detection Rate</t>
  </si>
  <si>
    <t>BERTScore</t>
  </si>
  <si>
    <t>from " T. Zhang, V. Kishore, F. Wu, K. Q. Weinberger, and Y. Artzi, “Bertscore:
Evaluating text generation with bert,” arXiv preprint arXiv:1904.09675,
2019"</t>
  </si>
  <si>
    <t>AlignScore</t>
  </si>
  <si>
    <t>from "Y. Zha, Y. Yang, R. Li, and Z. Hu, “Alignscore: Evaluating fac_x0002_tual consistency with a unified alignment function,” arXiv preprint
arXiv:2305.16739, 2023."</t>
  </si>
  <si>
    <t>average satisfaction score</t>
  </si>
  <si>
    <t>No evaluatin because the paper presents only a research plan</t>
  </si>
  <si>
    <t>No information</t>
  </si>
  <si>
    <t>Aspekt</t>
  </si>
  <si>
    <t>Synonyme/Varianten (Anzahl)</t>
  </si>
  <si>
    <t>Gesamt</t>
  </si>
  <si>
    <t>Column1</t>
  </si>
  <si>
    <t>Definition / Quelle(n)</t>
  </si>
  <si>
    <t>Phase</t>
  </si>
  <si>
    <t>Unambiguity (10), Ambiguity (2), Ambiguous Adverbs and adjectives (2), Anaphoric Ambiguity (2), Ambiguous element (1), loopholes (1), number of conjunctions (1)</t>
  </si>
  <si>
    <t>Assess, Evaluate (15), Explain, Understand (1), Predict (1),  Improve (5)</t>
  </si>
  <si>
    <t>Correctness</t>
  </si>
  <si>
    <t>Testability</t>
  </si>
  <si>
    <t>Clarity</t>
  </si>
  <si>
    <t>Understandable (3), Readability (1), Specificity (1), Readability Statistics (1), subjective language (2), superlatives (2), comparatives (2), incorrect goal semantics (1), incorrect softgoal semantics (1)</t>
  </si>
  <si>
    <t>Assess, Evaluate (5), Explain, Understand (2), Improve (4)</t>
  </si>
  <si>
    <t>Elicitation (4), Analysis (4), Verification / Validation (1)</t>
  </si>
  <si>
    <t>Atomicity</t>
  </si>
  <si>
    <t>Internal Consistency (2), Consistency (3), Inconsistency (1), Contradiction (1)</t>
  </si>
  <si>
    <t>Negative contradiction, scope limitation (258)</t>
  </si>
  <si>
    <t>Assess, Evaluate (5), Explain, Understand (1), Improve (2)</t>
  </si>
  <si>
    <t>Analysis (5), Management (1)</t>
  </si>
  <si>
    <t>Traceability</t>
  </si>
  <si>
    <t>Traceable (1), Continuances (1)</t>
  </si>
  <si>
    <t>-</t>
  </si>
  <si>
    <t>Wilson (145)</t>
  </si>
  <si>
    <t>Assess, Evaluate (1)</t>
  </si>
  <si>
    <t>Elicitation (1)</t>
  </si>
  <si>
    <t>Appropriateness</t>
  </si>
  <si>
    <t>Assess, Evaluate (2)</t>
  </si>
  <si>
    <t>Structure</t>
  </si>
  <si>
    <t>Well-formed (1), Full Sentence (1), Punctuation Marks (1), Misspellings (1), Conforming (1), passive voice (1), negative statements (1), imperative (1), Directives (1), Incorrect actor syntax (1), incorrect goal syntax (1), incorrect softgoal syntax (1), incorrect task syntax (1), incorrect resource syntax (1)</t>
  </si>
  <si>
    <t>Assess, Evaluate (5), Predict (1)</t>
  </si>
  <si>
    <t>Elicitation (1), Analysis (3), Verification and Validation (1)</t>
  </si>
  <si>
    <t>Estimability</t>
  </si>
  <si>
    <t>Assess, Evaluate (2), Explain, Understand (1), Improve (3)</t>
  </si>
  <si>
    <t>Elicitation (3), Analysis (3)</t>
  </si>
  <si>
    <t>Independence</t>
  </si>
  <si>
    <t>Assess, Evaluate (2), Explain, Understand (1), Predict (1), Improve (3)</t>
  </si>
  <si>
    <t>Elicitation (3), Analysis (2), Verification and Validation (2)</t>
  </si>
  <si>
    <t>Negotiability</t>
  </si>
  <si>
    <t>Vagueness (1), Weak phrases (1), Vague words (1), vague pronouns (2), open-ended non-verifiable term (1)</t>
  </si>
  <si>
    <t>Assess, Evaluate (3) Predict (1)</t>
  </si>
  <si>
    <t>Elicitation (1), Analysis (3)</t>
  </si>
  <si>
    <t>Complex Sentences (1), Complexity (1)</t>
  </si>
  <si>
    <t>36, 145</t>
  </si>
  <si>
    <t>Elicitation (1), Verification and Validation (1)</t>
  </si>
  <si>
    <t>Assess, Evaluate (3), Explain, Understand (1), Improve (4)</t>
  </si>
  <si>
    <t>Feasible (1), Security Statistics (1), ranked (1)</t>
  </si>
  <si>
    <t>Elicitation (1), Analysis (1)</t>
  </si>
  <si>
    <t>Redundancy</t>
  </si>
  <si>
    <t>Non-Redundancy (2), Similar Elements (1)</t>
  </si>
  <si>
    <t>36, 158, 258</t>
  </si>
  <si>
    <t>IEEE29148:2018 (158)</t>
  </si>
  <si>
    <t>Assess, Evaluate (3), Explain, Understand (1), Improve (1)</t>
  </si>
  <si>
    <t>Analysis (2), Validation and Verification (1)</t>
  </si>
  <si>
    <t>Classification Model Validation Metrics</t>
  </si>
  <si>
    <t>Expert evaluations and agreements with experts</t>
  </si>
  <si>
    <t>Similarity and generation metrics</t>
  </si>
  <si>
    <t>Task-specific or contextual metrics</t>
  </si>
  <si>
    <t>Testable (4), Validatable (1), Verifiable (4)</t>
  </si>
  <si>
    <t>Conciseness (1), Small (3), Minimal (1), Size (1), Element Size (1)</t>
  </si>
  <si>
    <t>Estimatable (4)</t>
  </si>
  <si>
    <t>Negotiable (3), Modifiable (1), Options (1)</t>
  </si>
  <si>
    <t>Usable (1), Valuable (3), Technical Aspect (1)</t>
  </si>
  <si>
    <t>Independent (3), Conflicting Goals / Tasks (1), Goal/Task and Subgoal/subtask mismatch (1)</t>
  </si>
  <si>
    <t>Appropriate (1), Necessary (1)</t>
  </si>
  <si>
    <t>Singular (1), Atomic (1), Conceptually sound (1), too specific element (1)</t>
  </si>
  <si>
    <t>Assess, Evaluate (3)</t>
  </si>
  <si>
    <t>Assess, Evaluate (5), Explain, Understand (1), Improve (1)</t>
  </si>
  <si>
    <t>Assess, Evaluate (7), Explain, Understand (1) Improve (2)</t>
  </si>
  <si>
    <t>Assess, Evaluate (4), Explain, Understand (1), Improve (2)</t>
  </si>
  <si>
    <t>Assess, Evaluate (5), Explain, Understand (3), Improve (4)</t>
  </si>
  <si>
    <t>Analysis (1)</t>
  </si>
  <si>
    <t>Elicitation (2), Analysis (10), Modeling (1), Verification &amp; Validation (4)</t>
  </si>
  <si>
    <t>Elicitation (1), Analysis (3), Validation and Verification (1)</t>
  </si>
  <si>
    <t>Elicitation (2), Analysis (4), Verificaion&amp;Validation (2)</t>
  </si>
  <si>
    <t>Elicitation (1), Analysis (2), Modeling (1)</t>
  </si>
  <si>
    <t>Elicitation (4), Analysis (2)</t>
  </si>
  <si>
    <t>Elicitation (4), Analysis (5)</t>
  </si>
  <si>
    <t>Elicitation (3), Analysis (3), Validation and Verification (1)</t>
  </si>
  <si>
    <t>Complete (4), Completeness (2), Incompleteness (1), Incomplete Text (1), implicit words (1)</t>
  </si>
  <si>
    <t>Correct (3), Accurate (1)</t>
  </si>
  <si>
    <t>References</t>
  </si>
  <si>
    <t>Existence of specific issue or "smell" (Paper 36), e.g., a conflict (paper 258) OR fulfillment of specific criterion (paper 274). Paper 140:considers full and partial matching of anaphoric ambiguitiees: full matching : only fully matched antecedents, while the partial matching allows for overlapping versions of the ground truth. Paper 326: The full matching definition considers only the fully matched antecedents, while the partial matching definition allows for overlapping versions of the ground truth.</t>
  </si>
  <si>
    <t>Req Specification Phase</t>
  </si>
  <si>
    <t>Modeling</t>
  </si>
  <si>
    <t>Management</t>
  </si>
  <si>
    <t>Digital Home (PURE)</t>
  </si>
  <si>
    <t>327: Requirements of two projects Stopwatch project and Digital Home project</t>
  </si>
  <si>
    <t>Digital Home (PURE), Stopwatch</t>
  </si>
  <si>
    <t>Izhar et al. (2025) (parts of PROMISE)</t>
  </si>
  <si>
    <t>Berhanu and Alemneh (2023)</t>
  </si>
  <si>
    <t>Cosler et al. (2023)</t>
  </si>
  <si>
    <t>305: Synthetic dataset created by Gärtner and Göhlich based on Electric Bus dataset</t>
  </si>
  <si>
    <t>Habib et al. (2021)</t>
  </si>
  <si>
    <t>Mechanical Lung Ventilator</t>
  </si>
  <si>
    <t>IOS mobile application</t>
  </si>
  <si>
    <t>Insulin Pump, Mental Health Care System, Weather Station (Sommerville)</t>
  </si>
  <si>
    <t xml:space="preserve">Finance Management System, Wellness App </t>
  </si>
  <si>
    <t>Seifert et al. (2025)</t>
  </si>
  <si>
    <t>Zhang et al. (2023)</t>
  </si>
  <si>
    <t>Zhang et al. (2024)</t>
  </si>
  <si>
    <t>145, 130, 181</t>
  </si>
  <si>
    <t>Academic</t>
  </si>
  <si>
    <t>Stopwatch</t>
  </si>
  <si>
    <t xml:space="preserve">Berhanu and Alemneh (2023) </t>
  </si>
  <si>
    <t xml:space="preserve">Cosler et al. (2023) </t>
  </si>
  <si>
    <t>Gärtner and Göhlich (2023)</t>
  </si>
  <si>
    <t xml:space="preserve">Habib et al. (2021) </t>
  </si>
  <si>
    <t>IEEE29148:2018 (158), Wilson (145), Lucassen (213), INVEST (299, 277)</t>
  </si>
  <si>
    <t>INVEST (299, 277)</t>
  </si>
  <si>
    <t>Wilson (145), INVEST (299, 277)</t>
  </si>
  <si>
    <t>Lucassen (213), INVEST (299, 277)</t>
  </si>
  <si>
    <t>Minimal: US contains only role, means, ends; US is of the right size (213, 299)</t>
  </si>
  <si>
    <t>36, 158, 145, 213, 277, 299, 302</t>
  </si>
  <si>
    <t>145, 277, 299, 302</t>
  </si>
  <si>
    <t>213, 277, 299, 302</t>
  </si>
  <si>
    <t>Can be delivered without depending on others (302)</t>
  </si>
  <si>
    <t>Leaves space for discussion; not a strict contract (302)</t>
  </si>
  <si>
    <t>US is technically achievable; Should be estimable, understandable enough to size (299, 302)</t>
  </si>
  <si>
    <t xml:space="preserve"> 36, 277, 299, 302, 304</t>
  </si>
  <si>
    <t>Wilson W.M., Rosenberg L.H., Hyatt L.E.: Automated analysis of requirement specifications. In: Proceedings of the 19th International Conference on Software Engineering, pp. 161–171, BostonMassachusetts USA, (1997) (145), V. Gervasi, A. Ferrari, D. Zowghi, and P. Spoletini, ‘‘Ambiguity in requirements engineering: Towards a unifying framework’’ (297); A. Handbook, From Contract Drafting to Software Specification: Linguistic Sources of Ambiguity, 2003.;  D. Zowghi and V. Gervasi, ‘‘On the interplay between consistency, completeness, and correctness in requirements evolution,’’ Inf. Softw. Technol., vol. 45, no. 14, pp. 993–1009, Nov. 2003. (277); U. S. Shah and D. C. Jinwala, “Resolving ambiguities in natural language software requirements: a comprehensive survey,” ACM SIGSOFT SEN, vol. 40, no. 5, pp. 1–7, 2015. (140), ISO-29148-2011 (325), ISO 29148:2018 (158), Lucassen, G., Dalpiaz, F., van der Werf, J.M.E.M. et al. Improving agile requirements: the Quality User Story framework and tool. Requirements Eng 21, 383–403 (2016). (213)</t>
  </si>
  <si>
    <t>140, 325</t>
  </si>
  <si>
    <t>145, 158, 274, 277, 299, 302, 326</t>
  </si>
  <si>
    <t>74, 145, 158, 326</t>
  </si>
  <si>
    <t>Wilson W.M., Rosenberg L.H., Hyatt L.E.: Automated analysis of requirement specifications. In: Proceedings of the 19th International Conference on Software Engineering, pp. 161–171, BostonMassachusetts USA, (1997) (145), 830-1998 - IEEE Recommended Practice for Software Requirements Specifications
Superseded by ISO/IEC/IEEE 29148:2018 Systems and software engineering - Life cycle processes - Requirements engineering (158, 326)</t>
  </si>
  <si>
    <t>Must provide information to make test development possible; Fulfillment can be proven or measured (302, 326)</t>
  </si>
  <si>
    <t>The need is accurately represented in the requirement (326)</t>
  </si>
  <si>
    <t>Atomic: exactly one feature; Defines only one aspect (213, 326)</t>
  </si>
  <si>
    <t>Requirement excludes unnecessary constraints, is realizable (326)</t>
  </si>
  <si>
    <t>A US includes at least role and means; is a well-formed full sentence (213), follows a standard template (326)</t>
  </si>
  <si>
    <t>Wilson (145), Lucassen (213), IEEE29148:2018 (326)</t>
  </si>
  <si>
    <t>All information needed to understand the requirement is included (326), Incomplete: incompletely expressed / with unplanned content (274)</t>
  </si>
  <si>
    <t>Wilson W.M., Rosenberg L.H., Hyatt L.E.: Automated analysis of requirement specifications. In: Proceedings of the 19th International Conference on Software Engineering, pp. 161–171, BostonMassachusetts USA, (1997) (145), INVEST (299, 277), IEEE29148:2018 (158, 326)</t>
  </si>
  <si>
    <t xml:space="preserve"> 36, 213, 326</t>
  </si>
  <si>
    <t>145, 326</t>
  </si>
  <si>
    <t>IEEE29148:2018 (326)</t>
  </si>
  <si>
    <t>Unambiguous: avoids terms leading to multiple interpretations; Fuzzy requirements require domain-specific vocabulary; Only one interpretation (213, 274, 326)</t>
  </si>
  <si>
    <t>IEEE29148:2018 (326), Lucassen (213)</t>
  </si>
  <si>
    <t>Wilson (145), IEEE29148:2018 (326)</t>
  </si>
  <si>
    <t>36, 64, 158, 145, 262, 274, 326, 336</t>
  </si>
  <si>
    <t xml:space="preserve"> 64, 93, 112, 158, 258, 336</t>
  </si>
  <si>
    <t>830-1998 - IEEE Recommended Practice for Software Requirements Specifications
Superseded by ISO/IEC/IEEE 29148:2018 Systems and software engineering - Life cycle processes - Requirements engineering (326); A. Handbook, From Contract Drafting to Software Specification: Linguistic Sources of Ambiguity, 2003.;  D. Zowghi and V. Gervasi, ‘‘On the interplay between consistency, completeness, and correctness in requirements evolution,’’ Inf. Softw. Technol., vol. 45, no. 14, pp. 993–1009, Nov. 2003. (336)</t>
  </si>
  <si>
    <t>IEEE29148:2018 (158), Vincenzo (64), Handbook Ambiguity (336)</t>
  </si>
  <si>
    <t>74, 277, 299, 302, 356</t>
  </si>
  <si>
    <t>36, 130, 145, 158, 356</t>
  </si>
  <si>
    <t>User stories should be clear, measurable; Should be easy to read for all stakeholders (356)</t>
  </si>
  <si>
    <t>64, 130, 145, 357</t>
  </si>
  <si>
    <t>36, 53, 64, 74, 130, 140, 145, 158, 181, 213, 262, 274, 297, 325, 326, 336, 357</t>
  </si>
  <si>
    <t>36, 145, 213, 326, 357</t>
  </si>
  <si>
    <t>Wilson W.M., Rosenberg L.H., Hyatt L.E.: Automated analysis of requirement specifications. In: Proceedings of the 19th International Conference on Software Engineering, pp. 161–171, BostonMassachusetts USA, (1997) (145), IEEE29148:2018 (158), ISO 29148-2011 (357)</t>
  </si>
  <si>
    <t>Wilson (145), ISO-29148-2011 (357)</t>
  </si>
  <si>
    <t>Content</t>
  </si>
  <si>
    <t>Worksheet</t>
  </si>
  <si>
    <t>Content of the file</t>
  </si>
  <si>
    <t>How to read the file</t>
  </si>
  <si>
    <t>Title-Abstract-Review</t>
  </si>
  <si>
    <t>Final Set</t>
  </si>
  <si>
    <t>This group of worksheets contains the outcomes of the papers' selection procedure.</t>
  </si>
  <si>
    <t>Raw Data</t>
  </si>
  <si>
    <t>--&gt; RQ1</t>
  </si>
  <si>
    <t>AI-Method</t>
  </si>
  <si>
    <t>Eval-Method</t>
  </si>
  <si>
    <t>--&gt;RQ2</t>
  </si>
  <si>
    <t>Quality Aspects</t>
  </si>
  <si>
    <t>Quality Aspects Summary</t>
  </si>
  <si>
    <t>Puropse</t>
  </si>
  <si>
    <t>Metrics</t>
  </si>
  <si>
    <t>--&gt;RQ3</t>
  </si>
  <si>
    <t>Data</t>
  </si>
  <si>
    <t>Data Description</t>
  </si>
  <si>
    <t>Demographics</t>
  </si>
  <si>
    <t>Quality Assessment</t>
  </si>
  <si>
    <t>Contains the initial query results after deduplication and application of inclusion/exclusion criteria across title, abstract, and full-text screening (Steps 1–6).</t>
  </si>
  <si>
    <t>Records papers identified through backward and forward snowballing, with the same screening steps applied.</t>
  </si>
  <si>
    <t>The resulting pool of 26 primary studies included after screening and snowballing.</t>
  </si>
  <si>
    <t>Contains the quality assessment of each paper, with criteria and scoring applied as described in the study.</t>
  </si>
  <si>
    <t>Extracted descriptive demographics (e.g., type of contribution, research context such as industry vs. academia).</t>
  </si>
  <si>
    <t>Full extracted data per study as described in the Data Extraction section of the paper.</t>
  </si>
  <si>
    <t>Mapping of AI methods applied in each study.</t>
  </si>
  <si>
    <t>separator tab</t>
  </si>
  <si>
    <t>Mapping of evaluation metrics used in each study.</t>
  </si>
  <si>
    <t>Comprehensive list of quality aspects mentioned across studies, with references to their sources.</t>
  </si>
  <si>
    <t>Condensed overview of the 19 consolidated quality aspects.</t>
  </si>
  <si>
    <t>Full reference mapping of the quality aspects.</t>
  </si>
  <si>
    <t>Mapping of purposes of AI application in RE across studies.</t>
  </si>
  <si>
    <t>Mapping of RE phases targeted by the AI methods.</t>
  </si>
  <si>
    <t>Mapping of quality metrics used per study.</t>
  </si>
  <si>
    <t>Mapping of datasets used in each study.</t>
  </si>
  <si>
    <t>Descriptive overview of datasets (synthetic vs. real-world, availability, context, size, structure, and labeling).</t>
  </si>
  <si>
    <t>This group of worksheets contains the outcomes of the data extraction and synthesis. The individual outcomes are grouped according to the research questions defined in the study.</t>
  </si>
  <si>
    <t>RQ1: What AI methods and models are used for the automated assessment of the software requirements' quality?</t>
  </si>
  <si>
    <t>RQ2: What quality aspects and the associated metrics are considered to assess the quality of software requirements?</t>
  </si>
  <si>
    <t>RQ3: What datasets were used to create, evaluate, and adjust requirements quality assessment models?}</t>
  </si>
  <si>
    <t>This file contains This file contains the empirical data package of our systematic literature review "Quality Assessment of Software Requirements Using Artificial Intelligence Methods: A Systematic Literature Review." It includes the full screening process, demographic analysis, and data extraction organized per research question (RQ1–RQ3).</t>
  </si>
  <si>
    <t>This group of worksheets contains the results of the analysis of the quality and demographic characteristics of the papers included in the study.</t>
  </si>
  <si>
    <t>This file contains groupings and content worksheets. The grouping worksheets are labeled with "--&gt;" and provide a detailed description of each group's contents.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</si>
</sst>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8"/>
      <name val="Aptos Narrow"/>
      <family val="2"/>
      <scheme val="minor"/>
    </font>
    <font>
      <u/>
      <sz val="11"/>
      <color theme="1"/>
      <name val="Aptos Narrow"/>
      <family val="2"/>
      <scheme val="minor"/>
    </font>
    <font>
      <sz val="11"/>
      <color rgb="FF242424"/>
      <name val="Aptos Narrow"/>
    </font>
    <font>
      <sz val="11"/>
      <color rgb="FF000000"/>
      <name val="Aptos Narrow"/>
      <family val="2"/>
      <scheme val="minor"/>
    </font>
    <font>
      <b/>
      <sz val="11"/>
      <color theme="1"/>
      <name val="Aptos Narrow"/>
      <scheme val="minor"/>
    </font>
    <font>
      <sz val="11"/>
      <color rgb="FF000000"/>
      <name val="Aptos Narrow"/>
      <scheme val="minor"/>
    </font>
    <font>
      <b/>
      <sz val="11"/>
      <color rgb="FF000000"/>
      <name val="Aptos Narrow"/>
      <family val="2"/>
      <scheme val="minor"/>
    </font>
    <font>
      <sz val="9"/>
      <color rgb="FF222222"/>
      <name val="Arial"/>
      <family val="2"/>
    </font>
    <font>
      <sz val="10"/>
      <color rgb="FF333333"/>
      <name val="Arial"/>
      <family val="2"/>
    </font>
    <font>
      <sz val="11"/>
      <color theme="1"/>
      <name val="Aptos Narrow"/>
      <scheme val="minor"/>
    </font>
    <font>
      <u/>
      <sz val="11"/>
      <color theme="1"/>
      <name val="Aptos Narrow"/>
      <scheme val="minor"/>
    </font>
    <font>
      <sz val="11"/>
      <color theme="1"/>
      <name val="Segoe UI"/>
      <family val="2"/>
    </font>
    <font>
      <sz val="11"/>
      <color theme="1"/>
      <name val="MaisonNeue"/>
    </font>
    <font>
      <sz val="12"/>
      <color theme="1"/>
      <name val="Arial"/>
      <family val="2"/>
    </font>
    <font>
      <sz val="10"/>
      <color theme="1"/>
      <name val="Arial"/>
      <family val="2"/>
    </font>
    <font>
      <u/>
      <sz val="12"/>
      <color theme="1"/>
      <name val="Arial"/>
      <family val="2"/>
    </font>
    <font>
      <u/>
      <sz val="11"/>
      <color theme="10"/>
      <name val="Aptos Narrow"/>
      <scheme val="minor"/>
    </font>
    <font>
      <b/>
      <sz val="11"/>
      <color rgb="FFFFFFFF"/>
      <name val="Aptos Narrow"/>
      <scheme val="minor"/>
    </font>
    <font>
      <sz val="11"/>
      <color theme="1"/>
      <name val="Aptos Narrow"/>
    </font>
    <font>
      <sz val="11"/>
      <color rgb="FF000000"/>
      <name val="Aptos Narrow"/>
    </font>
    <font>
      <b/>
      <sz val="11"/>
      <color rgb="FFFFFFFF"/>
      <name val="Aptos Narrow"/>
      <family val="2"/>
    </font>
    <font>
      <sz val="11"/>
      <color rgb="FF000000"/>
      <name val="Aptos Narrow"/>
      <family val="2"/>
    </font>
  </fonts>
  <fills count="4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EA72E"/>
        <bgColor rgb="FF4EA72E"/>
      </patternFill>
    </fill>
    <fill>
      <patternFill patternType="solid">
        <fgColor rgb="FFFFFF00"/>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2"/>
        <bgColor indexed="64"/>
      </patternFill>
    </fill>
    <fill>
      <patternFill patternType="solid">
        <fgColor theme="9"/>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79998168889431442"/>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8ED973"/>
      </top>
      <bottom style="thin">
        <color rgb="FF8ED973"/>
      </bottom>
      <diagonal/>
    </border>
    <border>
      <left/>
      <right/>
      <top style="thin">
        <color theme="9" tint="0.39997558519241921"/>
      </top>
      <bottom style="thin">
        <color theme="9" tint="0.39997558519241921"/>
      </bottom>
      <diagonal/>
    </border>
    <border>
      <left/>
      <right/>
      <top style="thin">
        <color theme="9" tint="0.39997558519241921"/>
      </top>
      <bottom/>
      <diagonal/>
    </border>
    <border>
      <left style="medium">
        <color rgb="FFDDDDDD"/>
      </left>
      <right style="medium">
        <color rgb="FFDDDDDD"/>
      </right>
      <top style="medium">
        <color rgb="FFDDDDDD"/>
      </top>
      <bottom style="medium">
        <color rgb="FFDDDDDD"/>
      </bottom>
      <diagonal/>
    </border>
    <border>
      <left/>
      <right style="thin">
        <color theme="9" tint="0.39997558519241921"/>
      </right>
      <top style="thin">
        <color theme="9" tint="0.39997558519241921"/>
      </top>
      <bottom style="thin">
        <color theme="9" tint="0.39997558519241921"/>
      </bottom>
      <diagonal/>
    </border>
    <border>
      <left/>
      <right/>
      <top/>
      <bottom style="thin">
        <color rgb="FF8ED973"/>
      </bottom>
      <diagonal/>
    </border>
    <border>
      <left/>
      <right/>
      <top style="thin">
        <color rgb="FF8ED973"/>
      </top>
      <bottom/>
      <diagonal/>
    </border>
    <border>
      <left style="thin">
        <color rgb="FF8ED973"/>
      </left>
      <right/>
      <top style="thin">
        <color theme="9" tint="0.39997558519241921"/>
      </top>
      <bottom style="thin">
        <color theme="9" tint="0.39997558519241921"/>
      </bottom>
      <diagonal/>
    </border>
    <border>
      <left style="thin">
        <color rgb="FF8ED973"/>
      </left>
      <right/>
      <top style="thin">
        <color theme="9" tint="0.39997558519241921"/>
      </top>
      <bottom/>
      <diagonal/>
    </border>
    <border>
      <left/>
      <right style="thin">
        <color theme="9" tint="0.39997558519241921"/>
      </right>
      <top style="thin">
        <color theme="9" tint="0.39997558519241921"/>
      </top>
      <bottom/>
      <diagonal/>
    </border>
    <border>
      <left/>
      <right/>
      <top/>
      <bottom style="thin">
        <color theme="9" tint="0.3999755851924192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
      <left/>
      <right/>
      <top style="thin">
        <color auto="1"/>
      </top>
      <bottom style="thin">
        <color auto="1"/>
      </bottom>
      <diagonal/>
    </border>
    <border>
      <left style="thin">
        <color rgb="FF8ED973"/>
      </left>
      <right/>
      <top style="thin">
        <color rgb="FF8ED973"/>
      </top>
      <bottom style="thin">
        <color rgb="FF8ED973"/>
      </bottom>
      <diagonal/>
    </border>
    <border>
      <left/>
      <right style="thin">
        <color rgb="FF8ED973"/>
      </right>
      <top style="thin">
        <color rgb="FF8ED973"/>
      </top>
      <bottom style="thin">
        <color rgb="FF8ED973"/>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auto="1"/>
      </bottom>
      <diagonal/>
    </border>
    <border>
      <left style="thin">
        <color indexed="64"/>
      </left>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52">
    <xf numFmtId="0" fontId="0" fillId="0" borderId="0" xfId="0"/>
    <xf numFmtId="0" fontId="18" fillId="0" borderId="0" xfId="42"/>
    <xf numFmtId="0" fontId="0" fillId="0" borderId="0" xfId="0" applyAlignment="1">
      <alignment vertical="top"/>
    </xf>
    <xf numFmtId="0" fontId="0" fillId="36" borderId="11" xfId="0" applyFill="1" applyBorder="1"/>
    <xf numFmtId="0" fontId="0" fillId="0" borderId="11" xfId="0" applyBorder="1"/>
    <xf numFmtId="0" fontId="14" fillId="0" borderId="0" xfId="0" applyFont="1"/>
    <xf numFmtId="0" fontId="22" fillId="0" borderId="0" xfId="0" applyFont="1"/>
    <xf numFmtId="0" fontId="0" fillId="37" borderId="11" xfId="0" applyFill="1" applyBorder="1" applyAlignment="1">
      <alignment vertical="top"/>
    </xf>
    <xf numFmtId="0" fontId="14" fillId="0" borderId="0" xfId="0" applyFont="1" applyAlignment="1">
      <alignment vertical="top"/>
    </xf>
    <xf numFmtId="0" fontId="0" fillId="0" borderId="11" xfId="0" applyBorder="1" applyAlignment="1">
      <alignment vertical="top"/>
    </xf>
    <xf numFmtId="0" fontId="21" fillId="0" borderId="0" xfId="0" applyFont="1" applyAlignment="1">
      <alignment vertical="top"/>
    </xf>
    <xf numFmtId="0" fontId="0" fillId="37" borderId="0" xfId="0" applyFill="1" applyAlignment="1">
      <alignment vertical="top"/>
    </xf>
    <xf numFmtId="0" fontId="0" fillId="0" borderId="0" xfId="0" applyAlignment="1">
      <alignment wrapText="1"/>
    </xf>
    <xf numFmtId="0" fontId="0" fillId="36" borderId="11" xfId="0" applyFill="1" applyBorder="1" applyAlignment="1">
      <alignment vertical="top"/>
    </xf>
    <xf numFmtId="0" fontId="0" fillId="0" borderId="0" xfId="0" applyAlignment="1">
      <alignment vertical="top" wrapText="1"/>
    </xf>
    <xf numFmtId="0" fontId="16" fillId="0" borderId="0" xfId="0" applyFont="1" applyAlignment="1">
      <alignment vertical="top" wrapText="1"/>
    </xf>
    <xf numFmtId="0" fontId="18" fillId="0" borderId="0" xfId="42" applyFill="1" applyAlignment="1"/>
    <xf numFmtId="0" fontId="18" fillId="0" borderId="0" xfId="42" applyAlignment="1"/>
    <xf numFmtId="0" fontId="13" fillId="35" borderId="11" xfId="0" applyFont="1" applyFill="1" applyBorder="1" applyAlignment="1">
      <alignment vertical="top" wrapText="1"/>
    </xf>
    <xf numFmtId="0" fontId="13" fillId="35" borderId="0" xfId="0" applyFont="1" applyFill="1" applyAlignment="1">
      <alignment vertical="top" wrapText="1"/>
    </xf>
    <xf numFmtId="0" fontId="0" fillId="0" borderId="11" xfId="0" applyBorder="1" applyAlignment="1">
      <alignment vertical="top" wrapText="1"/>
    </xf>
    <xf numFmtId="0" fontId="18" fillId="0" borderId="0" xfId="42" applyAlignment="1">
      <alignment vertical="top" wrapText="1"/>
    </xf>
    <xf numFmtId="0" fontId="0" fillId="36" borderId="11" xfId="0" applyFill="1" applyBorder="1" applyAlignment="1">
      <alignment vertical="top" wrapText="1"/>
    </xf>
    <xf numFmtId="0" fontId="0" fillId="34" borderId="0" xfId="0" applyFill="1" applyAlignment="1">
      <alignment vertical="top" wrapText="1"/>
    </xf>
    <xf numFmtId="0" fontId="18" fillId="0" borderId="0" xfId="42" applyAlignment="1">
      <alignment vertical="top"/>
    </xf>
    <xf numFmtId="0" fontId="0" fillId="0" borderId="12" xfId="0" applyBorder="1" applyAlignment="1">
      <alignment vertical="top" wrapText="1"/>
    </xf>
    <xf numFmtId="0" fontId="0" fillId="0" borderId="12" xfId="0" applyBorder="1"/>
    <xf numFmtId="0" fontId="0" fillId="36" borderId="12" xfId="0" applyFill="1" applyBorder="1" applyAlignment="1">
      <alignment vertical="top" wrapText="1"/>
    </xf>
    <xf numFmtId="0" fontId="18" fillId="0" borderId="0" xfId="42" applyAlignment="1">
      <alignment wrapText="1"/>
    </xf>
    <xf numFmtId="0" fontId="0" fillId="0" borderId="12" xfId="0" applyBorder="1" applyAlignment="1">
      <alignment wrapText="1"/>
    </xf>
    <xf numFmtId="0" fontId="0" fillId="0" borderId="0" xfId="0" quotePrefix="1" applyAlignment="1">
      <alignment vertical="top" wrapText="1"/>
    </xf>
    <xf numFmtId="0" fontId="0" fillId="0" borderId="11" xfId="0" applyBorder="1" applyAlignment="1">
      <alignment wrapText="1"/>
    </xf>
    <xf numFmtId="0" fontId="26" fillId="0" borderId="11" xfId="0" applyFont="1" applyBorder="1"/>
    <xf numFmtId="0" fontId="27" fillId="0" borderId="11" xfId="0" applyFont="1" applyBorder="1" applyAlignment="1">
      <alignment vertical="center" readingOrder="1"/>
    </xf>
    <xf numFmtId="0" fontId="22" fillId="36" borderId="11" xfId="0" applyFont="1" applyFill="1" applyBorder="1" applyAlignment="1">
      <alignment vertical="top"/>
    </xf>
    <xf numFmtId="0" fontId="22" fillId="36" borderId="12" xfId="0" applyFont="1" applyFill="1" applyBorder="1" applyAlignment="1">
      <alignment vertical="top"/>
    </xf>
    <xf numFmtId="0" fontId="0" fillId="38" borderId="0" xfId="0" applyFill="1"/>
    <xf numFmtId="0" fontId="25" fillId="0" borderId="11" xfId="0" applyFont="1" applyBorder="1" applyAlignment="1">
      <alignment wrapText="1"/>
    </xf>
    <xf numFmtId="0" fontId="25" fillId="0" borderId="12" xfId="0" applyFont="1" applyBorder="1" applyAlignment="1">
      <alignment wrapText="1"/>
    </xf>
    <xf numFmtId="0" fontId="16" fillId="0" borderId="11" xfId="0" applyFont="1" applyBorder="1"/>
    <xf numFmtId="0" fontId="16" fillId="0" borderId="12" xfId="0" applyFont="1" applyBorder="1"/>
    <xf numFmtId="0" fontId="20" fillId="0" borderId="0" xfId="42" applyFont="1" applyAlignment="1">
      <alignment vertical="top"/>
    </xf>
    <xf numFmtId="0" fontId="28" fillId="38" borderId="0" xfId="0" applyFont="1" applyFill="1"/>
    <xf numFmtId="0" fontId="28" fillId="38" borderId="0" xfId="0" applyFont="1" applyFill="1" applyAlignment="1">
      <alignment vertical="top"/>
    </xf>
    <xf numFmtId="0" fontId="29" fillId="38" borderId="0" xfId="42" applyFont="1" applyFill="1" applyAlignment="1">
      <alignment vertical="top"/>
    </xf>
    <xf numFmtId="0" fontId="20" fillId="0" borderId="0" xfId="42" applyFont="1"/>
    <xf numFmtId="0" fontId="30" fillId="0" borderId="0" xfId="0" applyFont="1" applyAlignment="1">
      <alignment vertical="top"/>
    </xf>
    <xf numFmtId="0" fontId="31" fillId="0" borderId="0" xfId="0" applyFont="1" applyAlignment="1">
      <alignment vertical="top"/>
    </xf>
    <xf numFmtId="0" fontId="33" fillId="0" borderId="0" xfId="0" applyFont="1" applyAlignment="1">
      <alignment vertical="top"/>
    </xf>
    <xf numFmtId="0" fontId="34" fillId="0" borderId="0" xfId="0" applyFont="1" applyAlignment="1">
      <alignment vertical="top"/>
    </xf>
    <xf numFmtId="0" fontId="28" fillId="0" borderId="0" xfId="0" applyFont="1"/>
    <xf numFmtId="0" fontId="33" fillId="0" borderId="13" xfId="0" applyFont="1" applyBorder="1" applyAlignment="1">
      <alignment vertical="center" readingOrder="1"/>
    </xf>
    <xf numFmtId="0" fontId="23" fillId="0" borderId="0" xfId="0" applyFont="1"/>
    <xf numFmtId="0" fontId="24" fillId="0" borderId="10" xfId="0" applyFont="1" applyBorder="1"/>
    <xf numFmtId="0" fontId="24" fillId="0" borderId="10" xfId="0" applyFont="1" applyBorder="1" applyAlignment="1">
      <alignment vertical="top"/>
    </xf>
    <xf numFmtId="0" fontId="35" fillId="0" borderId="10" xfId="42" applyFont="1" applyFill="1" applyBorder="1" applyAlignment="1">
      <alignment vertical="top"/>
    </xf>
    <xf numFmtId="0" fontId="36" fillId="33" borderId="15" xfId="0" applyFont="1" applyFill="1" applyBorder="1"/>
    <xf numFmtId="0" fontId="24" fillId="0" borderId="16" xfId="0" applyFont="1" applyBorder="1"/>
    <xf numFmtId="0" fontId="13" fillId="0" borderId="0" xfId="0" applyFont="1"/>
    <xf numFmtId="2" fontId="0" fillId="0" borderId="11" xfId="0" applyNumberFormat="1" applyBorder="1"/>
    <xf numFmtId="0" fontId="0" fillId="0" borderId="14" xfId="0" applyBorder="1"/>
    <xf numFmtId="0" fontId="22" fillId="0" borderId="11" xfId="0" applyFont="1" applyBorder="1" applyAlignment="1">
      <alignment vertical="top"/>
    </xf>
    <xf numFmtId="0" fontId="22" fillId="0" borderId="12" xfId="0" applyFont="1" applyBorder="1" applyAlignment="1">
      <alignment vertical="top"/>
    </xf>
    <xf numFmtId="0" fontId="0" fillId="0" borderId="19" xfId="0" applyBorder="1"/>
    <xf numFmtId="0" fontId="28" fillId="0" borderId="17" xfId="0" applyFont="1" applyBorder="1"/>
    <xf numFmtId="0" fontId="24" fillId="0" borderId="17" xfId="0" applyFont="1" applyBorder="1"/>
    <xf numFmtId="0" fontId="28" fillId="0" borderId="18" xfId="0" applyFont="1" applyBorder="1"/>
    <xf numFmtId="0" fontId="13" fillId="0" borderId="20" xfId="0" applyFont="1" applyBorder="1"/>
    <xf numFmtId="0" fontId="18" fillId="0" borderId="11" xfId="42" applyFill="1" applyBorder="1"/>
    <xf numFmtId="0" fontId="22" fillId="0" borderId="11" xfId="0" applyFont="1" applyBorder="1"/>
    <xf numFmtId="0" fontId="18" fillId="0" borderId="11" xfId="42" applyFill="1" applyBorder="1" applyAlignment="1">
      <alignment vertical="top"/>
    </xf>
    <xf numFmtId="0" fontId="13" fillId="35" borderId="0" xfId="0" applyFont="1" applyFill="1" applyAlignment="1">
      <alignment vertical="top" wrapText="1" shrinkToFit="1"/>
    </xf>
    <xf numFmtId="0" fontId="0" fillId="0" borderId="0" xfId="0" applyAlignment="1">
      <alignment vertical="top" wrapText="1" shrinkToFit="1"/>
    </xf>
    <xf numFmtId="0" fontId="16" fillId="0" borderId="0" xfId="0" applyFont="1"/>
    <xf numFmtId="0" fontId="0" fillId="0" borderId="21" xfId="0" applyBorder="1"/>
    <xf numFmtId="0" fontId="0" fillId="0" borderId="21" xfId="0" quotePrefix="1" applyBorder="1"/>
    <xf numFmtId="0" fontId="16" fillId="39" borderId="23" xfId="0" applyFont="1" applyFill="1" applyBorder="1" applyAlignment="1">
      <alignment vertical="top" wrapText="1"/>
    </xf>
    <xf numFmtId="0" fontId="0" fillId="0" borderId="23" xfId="0" applyBorder="1" applyAlignment="1">
      <alignment vertical="top" wrapText="1"/>
    </xf>
    <xf numFmtId="0" fontId="0" fillId="0" borderId="21" xfId="0" applyBorder="1" applyAlignment="1">
      <alignment vertical="top"/>
    </xf>
    <xf numFmtId="0" fontId="16" fillId="0" borderId="28" xfId="0" applyFont="1" applyBorder="1" applyAlignment="1">
      <alignment vertical="top"/>
    </xf>
    <xf numFmtId="0" fontId="16" fillId="0" borderId="28" xfId="0" applyFont="1" applyBorder="1" applyAlignment="1">
      <alignment horizontal="center" vertical="top"/>
    </xf>
    <xf numFmtId="0" fontId="0" fillId="0" borderId="28" xfId="0" applyBorder="1" applyAlignment="1">
      <alignment horizontal="center"/>
    </xf>
    <xf numFmtId="0" fontId="16" fillId="0" borderId="29" xfId="0" applyFont="1" applyBorder="1" applyAlignment="1">
      <alignment vertical="top"/>
    </xf>
    <xf numFmtId="0" fontId="0" fillId="0" borderId="29" xfId="0" applyBorder="1" applyAlignment="1">
      <alignment vertical="top"/>
    </xf>
    <xf numFmtId="0" fontId="0" fillId="0" borderId="21" xfId="0" applyBorder="1" applyAlignment="1">
      <alignment horizontal="center" vertical="top"/>
    </xf>
    <xf numFmtId="0" fontId="0" fillId="0" borderId="21" xfId="0" applyBorder="1" applyAlignment="1">
      <alignment horizontal="center"/>
    </xf>
    <xf numFmtId="0" fontId="0" fillId="0" borderId="22" xfId="0" applyBorder="1" applyAlignment="1">
      <alignment vertical="top"/>
    </xf>
    <xf numFmtId="0" fontId="0" fillId="0" borderId="22" xfId="0" applyBorder="1" applyAlignment="1">
      <alignment horizontal="center" vertical="top"/>
    </xf>
    <xf numFmtId="0" fontId="0" fillId="0" borderId="22" xfId="0" applyBorder="1" applyAlignment="1">
      <alignment horizontal="center"/>
    </xf>
    <xf numFmtId="0" fontId="0" fillId="0" borderId="30" xfId="0" applyBorder="1" applyAlignment="1">
      <alignment vertical="top"/>
    </xf>
    <xf numFmtId="9" fontId="0" fillId="0" borderId="21" xfId="0" applyNumberFormat="1" applyBorder="1" applyAlignment="1">
      <alignment horizontal="center" vertical="top"/>
    </xf>
    <xf numFmtId="0" fontId="18" fillId="0" borderId="0" xfId="42" applyFill="1" applyBorder="1" applyAlignment="1">
      <alignment vertical="top"/>
    </xf>
    <xf numFmtId="0" fontId="18" fillId="0" borderId="30" xfId="42" applyFill="1" applyBorder="1" applyAlignment="1">
      <alignment vertical="top"/>
    </xf>
    <xf numFmtId="0" fontId="0" fillId="0" borderId="30" xfId="0" applyBorder="1" applyAlignment="1">
      <alignment vertical="top" wrapText="1"/>
    </xf>
    <xf numFmtId="0" fontId="16" fillId="0" borderId="0" xfId="0" applyFont="1" applyAlignment="1">
      <alignment horizontal="left" vertical="top"/>
    </xf>
    <xf numFmtId="0" fontId="0" fillId="0" borderId="0" xfId="0" applyAlignment="1">
      <alignment horizontal="left" vertical="top"/>
    </xf>
    <xf numFmtId="0" fontId="0" fillId="0" borderId="21" xfId="0" applyBorder="1" applyAlignment="1">
      <alignment horizontal="left" vertical="top"/>
    </xf>
    <xf numFmtId="0" fontId="18" fillId="0" borderId="0" xfId="42" applyFill="1"/>
    <xf numFmtId="0" fontId="16" fillId="0" borderId="25" xfId="0" applyFont="1" applyBorder="1" applyAlignment="1">
      <alignment horizontal="left" vertical="top"/>
    </xf>
    <xf numFmtId="0" fontId="0" fillId="0" borderId="25" xfId="0" applyBorder="1"/>
    <xf numFmtId="0" fontId="23" fillId="0" borderId="23" xfId="0" applyFont="1" applyBorder="1"/>
    <xf numFmtId="0" fontId="23" fillId="0" borderId="23" xfId="0" applyFont="1" applyBorder="1" applyAlignment="1">
      <alignment horizontal="center"/>
    </xf>
    <xf numFmtId="0" fontId="23" fillId="0" borderId="25" xfId="0" applyFont="1" applyBorder="1"/>
    <xf numFmtId="0" fontId="23" fillId="0" borderId="21" xfId="0" applyFont="1" applyBorder="1" applyAlignment="1">
      <alignment vertical="top"/>
    </xf>
    <xf numFmtId="0" fontId="23" fillId="0" borderId="21" xfId="0" applyFont="1" applyBorder="1" applyAlignment="1">
      <alignment horizontal="center" vertical="top"/>
    </xf>
    <xf numFmtId="0" fontId="23" fillId="0" borderId="24" xfId="0" applyFont="1" applyBorder="1" applyAlignment="1">
      <alignment horizontal="center"/>
    </xf>
    <xf numFmtId="0" fontId="23" fillId="0" borderId="0" xfId="0" applyFont="1" applyAlignment="1">
      <alignment vertical="top"/>
    </xf>
    <xf numFmtId="0" fontId="23" fillId="0" borderId="21" xfId="0" applyFont="1" applyBorder="1"/>
    <xf numFmtId="0" fontId="23" fillId="0" borderId="21" xfId="0" applyFont="1" applyBorder="1" applyAlignment="1">
      <alignment horizontal="center"/>
    </xf>
    <xf numFmtId="0" fontId="0" fillId="0" borderId="21" xfId="0" applyBorder="1" applyAlignment="1">
      <alignment wrapText="1"/>
    </xf>
    <xf numFmtId="0" fontId="0" fillId="0" borderId="21" xfId="0" quotePrefix="1" applyBorder="1" applyAlignment="1">
      <alignment wrapText="1"/>
    </xf>
    <xf numFmtId="0" fontId="37" fillId="0" borderId="0" xfId="0" applyFont="1"/>
    <xf numFmtId="0" fontId="39" fillId="0" borderId="26" xfId="0" applyFont="1" applyBorder="1"/>
    <xf numFmtId="0" fontId="39" fillId="0" borderId="10" xfId="0" applyFont="1" applyBorder="1"/>
    <xf numFmtId="0" fontId="39" fillId="0" borderId="10" xfId="0" applyFont="1" applyBorder="1" applyAlignment="1">
      <alignment wrapText="1"/>
    </xf>
    <xf numFmtId="0" fontId="39" fillId="0" borderId="27" xfId="0" applyFont="1" applyBorder="1"/>
    <xf numFmtId="0" fontId="40" fillId="0" borderId="26" xfId="0" applyFont="1" applyBorder="1" applyAlignment="1">
      <alignment wrapText="1"/>
    </xf>
    <xf numFmtId="0" fontId="40" fillId="0" borderId="10" xfId="0" applyFont="1" applyBorder="1" applyAlignment="1">
      <alignment wrapText="1"/>
    </xf>
    <xf numFmtId="0" fontId="40" fillId="0" borderId="27" xfId="0" applyFont="1" applyBorder="1" applyAlignment="1">
      <alignment wrapText="1"/>
    </xf>
    <xf numFmtId="0" fontId="40" fillId="0" borderId="10" xfId="0" quotePrefix="1" applyFont="1" applyBorder="1" applyAlignment="1">
      <alignment wrapText="1"/>
    </xf>
    <xf numFmtId="0" fontId="23" fillId="0" borderId="22" xfId="0" applyFont="1" applyBorder="1"/>
    <xf numFmtId="0" fontId="23" fillId="0" borderId="22" xfId="0" applyFont="1" applyBorder="1" applyAlignment="1">
      <alignment horizontal="center"/>
    </xf>
    <xf numFmtId="0" fontId="16" fillId="0" borderId="22" xfId="0" applyFont="1" applyBorder="1"/>
    <xf numFmtId="0" fontId="16" fillId="0" borderId="22" xfId="0" applyFont="1" applyBorder="1" applyAlignment="1">
      <alignment horizontal="center"/>
    </xf>
    <xf numFmtId="0" fontId="38" fillId="0" borderId="0" xfId="0" applyFont="1"/>
    <xf numFmtId="0" fontId="0" fillId="0" borderId="25" xfId="0" applyBorder="1" applyAlignment="1">
      <alignment horizontal="left" vertical="top"/>
    </xf>
    <xf numFmtId="0" fontId="0" fillId="0" borderId="29" xfId="0" applyBorder="1"/>
    <xf numFmtId="0" fontId="0" fillId="0" borderId="29" xfId="0" applyBorder="1" applyAlignment="1">
      <alignment horizontal="left" vertical="top"/>
    </xf>
    <xf numFmtId="0" fontId="0" fillId="0" borderId="30" xfId="0" applyBorder="1"/>
    <xf numFmtId="0" fontId="0" fillId="0" borderId="30" xfId="0" applyBorder="1" applyAlignment="1">
      <alignment horizontal="left" vertical="top"/>
    </xf>
    <xf numFmtId="0" fontId="0" fillId="0" borderId="31" xfId="0" applyBorder="1"/>
    <xf numFmtId="0" fontId="0" fillId="0" borderId="31" xfId="0" applyBorder="1" applyAlignment="1">
      <alignment horizontal="left" vertical="top"/>
    </xf>
    <xf numFmtId="14" fontId="0" fillId="0" borderId="25" xfId="0" applyNumberFormat="1" applyBorder="1" applyAlignment="1">
      <alignment horizontal="left" vertical="top"/>
    </xf>
    <xf numFmtId="0" fontId="0" fillId="0" borderId="32" xfId="0" applyBorder="1"/>
    <xf numFmtId="14" fontId="0" fillId="0" borderId="29" xfId="0" applyNumberFormat="1" applyBorder="1" applyAlignment="1">
      <alignment horizontal="left" vertical="top"/>
    </xf>
    <xf numFmtId="14" fontId="0" fillId="0" borderId="0" xfId="0" applyNumberFormat="1" applyAlignment="1">
      <alignment horizontal="left" vertical="top"/>
    </xf>
    <xf numFmtId="0" fontId="0" fillId="0" borderId="33" xfId="0" applyBorder="1"/>
    <xf numFmtId="0" fontId="21" fillId="0" borderId="0" xfId="0" applyFont="1"/>
    <xf numFmtId="0" fontId="0" fillId="0" borderId="0" xfId="0" applyAlignment="1">
      <alignment horizontal="left" vertical="top" wrapText="1"/>
    </xf>
    <xf numFmtId="0" fontId="0" fillId="0" borderId="23" xfId="0" applyBorder="1" applyAlignment="1">
      <alignment horizontal="left" vertical="top" wrapText="1"/>
    </xf>
    <xf numFmtId="0" fontId="13" fillId="45" borderId="23" xfId="0" applyFont="1" applyFill="1" applyBorder="1" applyAlignment="1">
      <alignment horizontal="left" vertical="top" wrapText="1"/>
    </xf>
    <xf numFmtId="0" fontId="0" fillId="46" borderId="23" xfId="0" quotePrefix="1" applyFill="1" applyBorder="1" applyAlignment="1">
      <alignment horizontal="left" vertical="top" wrapText="1"/>
    </xf>
    <xf numFmtId="0" fontId="0" fillId="46" borderId="23" xfId="0" applyFill="1" applyBorder="1" applyAlignment="1">
      <alignment horizontal="left" vertical="top" wrapText="1"/>
    </xf>
    <xf numFmtId="0" fontId="13" fillId="44" borderId="23" xfId="0" applyFont="1" applyFill="1" applyBorder="1" applyAlignment="1">
      <alignment horizontal="left" vertical="top" wrapText="1"/>
    </xf>
    <xf numFmtId="0" fontId="13" fillId="43" borderId="23" xfId="0" applyFont="1" applyFill="1" applyBorder="1" applyAlignment="1">
      <alignment horizontal="left" vertical="top" wrapText="1"/>
    </xf>
    <xf numFmtId="0" fontId="16" fillId="47" borderId="23" xfId="0" applyFont="1" applyFill="1" applyBorder="1" applyAlignment="1">
      <alignment horizontal="left" vertical="top" wrapText="1"/>
    </xf>
    <xf numFmtId="0" fontId="0" fillId="48" borderId="23" xfId="0" applyFill="1" applyBorder="1" applyAlignment="1">
      <alignment horizontal="left" vertical="top" wrapText="1"/>
    </xf>
    <xf numFmtId="0" fontId="16" fillId="42" borderId="0" xfId="0" applyFont="1" applyFill="1" applyAlignment="1">
      <alignment horizontal="left" vertical="top" wrapText="1"/>
    </xf>
    <xf numFmtId="0" fontId="16" fillId="40" borderId="0" xfId="0" applyFont="1" applyFill="1" applyAlignment="1">
      <alignment horizontal="left" vertical="top" wrapText="1"/>
    </xf>
    <xf numFmtId="0" fontId="0" fillId="0" borderId="23" xfId="0" applyBorder="1" applyAlignment="1">
      <alignment wrapText="1"/>
    </xf>
    <xf numFmtId="0" fontId="16" fillId="46" borderId="0" xfId="0" applyFont="1" applyFill="1"/>
    <xf numFmtId="0" fontId="16" fillId="41" borderId="0" xfId="0" applyFont="1" applyFill="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6">
    <dxf>
      <font>
        <b val="0"/>
        <i val="0"/>
        <strike val="0"/>
        <condense val="0"/>
        <extend val="0"/>
        <outline val="0"/>
        <shadow val="0"/>
        <u val="none"/>
        <vertAlign val="baseline"/>
        <sz val="11"/>
        <color rgb="FF000000"/>
        <name val="Aptos Narrow"/>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right style="thin">
          <color rgb="FF8ED973"/>
        </right>
        <top style="thin">
          <color rgb="FF8ED973"/>
        </top>
        <bottom style="thin">
          <color rgb="FF8ED973"/>
        </bottom>
      </border>
    </dxf>
    <dxf>
      <font>
        <b val="0"/>
        <i val="0"/>
        <strike val="0"/>
        <condense val="0"/>
        <extend val="0"/>
        <outline val="0"/>
        <shadow val="0"/>
        <u val="none"/>
        <vertAlign val="baseline"/>
        <sz val="11"/>
        <color rgb="FF000000"/>
        <name val="Aptos Narrow"/>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rgb="FF8ED973"/>
        </top>
        <bottom style="thin">
          <color rgb="FF8ED973"/>
        </bottom>
      </border>
    </dxf>
    <dxf>
      <fill>
        <patternFill patternType="none">
          <fgColor indexed="64"/>
          <bgColor auto="1"/>
        </patternFill>
      </fill>
      <alignment wrapText="1"/>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none"/>
      </fill>
    </dxf>
    <dxf>
      <fill>
        <patternFill patternType="none"/>
      </fill>
    </dxf>
    <dxf>
      <fill>
        <patternFill patternType="none">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none">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none">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none">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none">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none">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none">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none">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none">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none">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none">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none">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none">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none">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none">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none">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left style="thin">
          <color rgb="FF8ED973"/>
        </left>
      </border>
    </dxf>
    <dxf>
      <font>
        <b/>
        <i val="0"/>
        <strike val="0"/>
        <condense val="0"/>
        <extend val="0"/>
        <outline val="0"/>
        <shadow val="0"/>
        <u val="none"/>
        <vertAlign val="baseline"/>
        <sz val="11"/>
        <color theme="0"/>
        <name val="Aptos Narrow"/>
        <family val="2"/>
        <scheme val="minor"/>
      </font>
      <fill>
        <patternFill patternType="solid">
          <fgColor theme="9"/>
          <bgColor theme="9"/>
        </patternFill>
      </fill>
      <alignment horizontal="general"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fill>
        <patternFill patternType="none">
          <fgColor indexed="64"/>
          <bgColor auto="1"/>
        </patternFill>
      </fill>
    </dxf>
    <dxf>
      <border outline="0">
        <bottom style="thin">
          <color theme="9" tint="0.39997558519241921"/>
        </bottom>
      </border>
    </dxf>
    <dxf>
      <font>
        <b/>
        <i val="0"/>
        <strike val="0"/>
        <condense val="0"/>
        <extend val="0"/>
        <outline val="0"/>
        <shadow val="0"/>
        <u val="none"/>
        <vertAlign val="baseline"/>
        <sz val="11"/>
        <color theme="0"/>
        <name val="Aptos Narrow"/>
        <family val="2"/>
        <scheme val="minor"/>
      </font>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fill>
        <patternFill patternType="none">
          <bgColor auto="1"/>
        </patternFill>
      </fill>
      <border diagonalUp="0" diagonalDown="0" outline="0">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Aptos Narrow"/>
        <family val="2"/>
        <scheme val="minor"/>
      </font>
      <fill>
        <patternFill patternType="none">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Aptos Narrow"/>
        <family val="2"/>
        <scheme val="minor"/>
      </font>
      <numFmt numFmtId="2" formatCode="0.00"/>
      <fill>
        <patternFill patternType="none">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Aptos Narrow"/>
        <family val="2"/>
        <scheme val="minor"/>
      </font>
      <fill>
        <patternFill patternType="none">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Aptos Narrow"/>
        <family val="2"/>
        <scheme val="minor"/>
      </font>
      <fill>
        <patternFill patternType="none">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Aptos Narrow"/>
        <family val="2"/>
        <scheme val="minor"/>
      </font>
      <fill>
        <patternFill patternType="none">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Aptos Narrow"/>
        <family val="2"/>
        <scheme val="minor"/>
      </font>
      <fill>
        <patternFill patternType="none">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Aptos Narrow"/>
        <family val="2"/>
        <scheme val="minor"/>
      </font>
      <fill>
        <patternFill patternType="none">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Aptos Narrow"/>
        <family val="2"/>
        <scheme val="minor"/>
      </font>
      <fill>
        <patternFill patternType="none">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Aptos Narrow"/>
        <family val="2"/>
        <scheme val="minor"/>
      </font>
      <fill>
        <patternFill patternType="none">
          <bgColor auto="1"/>
        </patternFill>
      </fill>
      <border diagonalUp="0" diagonalDown="0" outline="0">
        <left/>
        <right/>
        <top style="thin">
          <color theme="9" tint="0.39997558519241921"/>
        </top>
        <bottom style="thin">
          <color theme="9" tint="0.39997558519241921"/>
        </bottom>
      </border>
    </dxf>
    <dxf>
      <fill>
        <patternFill patternType="none">
          <bgColor auto="1"/>
        </patternFill>
      </fill>
    </dxf>
    <dxf>
      <font>
        <b val="0"/>
        <i val="0"/>
        <strike val="0"/>
        <condense val="0"/>
        <extend val="0"/>
        <outline val="0"/>
        <shadow val="0"/>
        <u val="none"/>
        <vertAlign val="baseline"/>
        <sz val="11"/>
        <color theme="1"/>
        <name val="Aptos Narrow"/>
        <family val="2"/>
        <scheme val="minor"/>
      </font>
      <fill>
        <patternFill patternType="none">
          <bgColor auto="1"/>
        </patternFill>
      </fill>
      <border diagonalUp="0" diagonalDown="0" outline="0">
        <left/>
        <right/>
        <top style="thin">
          <color theme="9" tint="0.39997558519241921"/>
        </top>
        <bottom style="thin">
          <color theme="9" tint="0.39997558519241921"/>
        </bottom>
      </border>
    </dxf>
    <dxf>
      <font>
        <b val="0"/>
      </font>
      <fill>
        <patternFill patternType="none">
          <bgColor auto="1"/>
        </patternFill>
      </fill>
    </dxf>
    <dxf>
      <border outline="0">
        <bottom style="thin">
          <color theme="9" tint="0.39997558519241921"/>
        </bottom>
      </border>
    </dxf>
    <dxf>
      <font>
        <b val="0"/>
        <i val="0"/>
        <strike val="0"/>
        <condense val="0"/>
        <extend val="0"/>
        <outline val="0"/>
        <shadow val="0"/>
        <u val="none"/>
        <vertAlign val="baseline"/>
        <sz val="11"/>
        <color theme="1"/>
        <name val="Aptos Narrow"/>
        <family val="2"/>
        <scheme val="minor"/>
      </font>
      <fill>
        <patternFill patternType="none">
          <bgColor auto="1"/>
        </patternFill>
      </fill>
    </dxf>
    <dxf>
      <font>
        <b/>
        <i val="0"/>
        <strike val="0"/>
        <condense val="0"/>
        <extend val="0"/>
        <outline val="0"/>
        <shadow val="0"/>
        <u val="none"/>
        <vertAlign val="baseline"/>
        <sz val="11"/>
        <color theme="0"/>
        <name val="Aptos Narrow"/>
        <family val="2"/>
        <scheme val="minor"/>
      </font>
      <fill>
        <patternFill patternType="none">
          <fgColor theme="9"/>
          <bgColor auto="1"/>
        </patternFill>
      </fill>
    </dxf>
    <dxf>
      <font>
        <b val="0"/>
        <i val="0"/>
        <strike val="0"/>
        <condense val="0"/>
        <extend val="0"/>
        <outline val="0"/>
        <shadow val="0"/>
        <u val="none"/>
        <vertAlign val="baseline"/>
        <sz val="11"/>
        <color rgb="FF000000"/>
        <name val="Aptos Narrow"/>
        <scheme val="minor"/>
      </font>
      <fill>
        <patternFill patternType="none">
          <fgColor indexed="64"/>
          <bgColor indexed="65"/>
        </patternFill>
      </fill>
      <alignment horizontal="general" vertical="top" textRotation="0" wrapText="0" indent="0" justifyLastLine="0" shrinkToFit="0" readingOrder="0"/>
      <border diagonalUp="0" diagonalDown="0">
        <left/>
        <right/>
        <top style="thin">
          <color rgb="FF8ED973"/>
        </top>
        <bottom style="thin">
          <color rgb="FF8ED973"/>
        </bottom>
        <vertical/>
        <horizontal/>
      </border>
    </dxf>
    <dxf>
      <font>
        <b val="0"/>
        <i val="0"/>
        <strike val="0"/>
        <condense val="0"/>
        <extend val="0"/>
        <outline val="0"/>
        <shadow val="0"/>
        <u val="none"/>
        <vertAlign val="baseline"/>
        <sz val="11"/>
        <color rgb="FF000000"/>
        <name val="Aptos Narrow"/>
        <scheme val="minor"/>
      </font>
      <fill>
        <patternFill patternType="none">
          <fgColor indexed="64"/>
          <bgColor indexed="65"/>
        </patternFill>
      </fill>
      <alignment horizontal="general" vertical="top" textRotation="0" wrapText="0" indent="0" justifyLastLine="0" shrinkToFit="0" readingOrder="0"/>
      <border diagonalUp="0" diagonalDown="0">
        <left/>
        <right/>
        <top style="thin">
          <color rgb="FF8ED973"/>
        </top>
        <bottom style="thin">
          <color rgb="FF8ED973"/>
        </bottom>
        <vertical/>
        <horizontal/>
      </border>
    </dxf>
    <dxf>
      <font>
        <b val="0"/>
        <i val="0"/>
        <strike val="0"/>
        <condense val="0"/>
        <extend val="0"/>
        <outline val="0"/>
        <shadow val="0"/>
        <u val="none"/>
        <vertAlign val="baseline"/>
        <sz val="11"/>
        <color rgb="FF000000"/>
        <name val="Aptos Narrow"/>
        <scheme val="minor"/>
      </font>
      <fill>
        <patternFill patternType="none">
          <fgColor indexed="64"/>
          <bgColor indexed="65"/>
        </patternFill>
      </fill>
      <alignment horizontal="general" vertical="top" textRotation="0" wrapText="0" indent="0" justifyLastLine="0" shrinkToFit="0" readingOrder="0"/>
      <border diagonalUp="0" diagonalDown="0">
        <left/>
        <right/>
        <top style="thin">
          <color rgb="FF8ED973"/>
        </top>
        <bottom style="thin">
          <color rgb="FF8ED973"/>
        </bottom>
        <vertical/>
        <horizontal/>
      </border>
    </dxf>
    <dxf>
      <font>
        <b val="0"/>
        <i val="0"/>
        <strike val="0"/>
        <condense val="0"/>
        <extend val="0"/>
        <outline val="0"/>
        <shadow val="0"/>
        <u/>
        <vertAlign val="baseline"/>
        <sz val="11"/>
        <color theme="10"/>
        <name val="Aptos Narrow"/>
        <scheme val="minor"/>
      </font>
      <fill>
        <patternFill patternType="none">
          <fgColor indexed="64"/>
          <bgColor indexed="65"/>
        </patternFill>
      </fill>
      <alignment horizontal="general" vertical="top" textRotation="0" wrapText="0" indent="0" justifyLastLine="0" shrinkToFit="0" readingOrder="0"/>
      <border diagonalUp="0" diagonalDown="0">
        <left/>
        <right/>
        <top style="thin">
          <color rgb="FF8ED973"/>
        </top>
        <bottom style="thin">
          <color rgb="FF8ED973"/>
        </bottom>
        <vertical/>
        <horizontal/>
      </border>
    </dxf>
    <dxf>
      <font>
        <b val="0"/>
        <i val="0"/>
        <strike val="0"/>
        <condense val="0"/>
        <extend val="0"/>
        <outline val="0"/>
        <shadow val="0"/>
        <u val="none"/>
        <vertAlign val="baseline"/>
        <sz val="11"/>
        <color rgb="FF000000"/>
        <name val="Aptos Narrow"/>
        <scheme val="minor"/>
      </font>
      <fill>
        <patternFill patternType="none">
          <fgColor indexed="64"/>
          <bgColor indexed="65"/>
        </patternFill>
      </fill>
      <alignment horizontal="general" vertical="top" textRotation="0" wrapText="0" indent="0" justifyLastLine="0" shrinkToFit="0" readingOrder="0"/>
      <border diagonalUp="0" diagonalDown="0">
        <left/>
        <right/>
        <top style="thin">
          <color rgb="FF8ED973"/>
        </top>
        <bottom style="thin">
          <color rgb="FF8ED973"/>
        </bottom>
        <vertical/>
        <horizontal/>
      </border>
    </dxf>
    <dxf>
      <font>
        <b val="0"/>
        <i val="0"/>
        <strike val="0"/>
        <condense val="0"/>
        <extend val="0"/>
        <outline val="0"/>
        <shadow val="0"/>
        <u val="none"/>
        <vertAlign val="baseline"/>
        <sz val="11"/>
        <color rgb="FF000000"/>
        <name val="Aptos Narrow"/>
        <scheme val="minor"/>
      </font>
      <fill>
        <patternFill patternType="none">
          <fgColor indexed="64"/>
          <bgColor indexed="65"/>
        </patternFill>
      </fill>
      <alignment horizontal="general" vertical="top" textRotation="0" wrapText="0" indent="0" justifyLastLine="0" shrinkToFit="0" readingOrder="0"/>
      <border diagonalUp="0" diagonalDown="0">
        <left/>
        <right/>
        <top style="thin">
          <color rgb="FF8ED973"/>
        </top>
        <bottom style="thin">
          <color rgb="FF8ED973"/>
        </bottom>
        <vertical/>
        <horizontal/>
      </border>
    </dxf>
    <dxf>
      <font>
        <b val="0"/>
        <i val="0"/>
        <strike val="0"/>
        <condense val="0"/>
        <extend val="0"/>
        <outline val="0"/>
        <shadow val="0"/>
        <u val="none"/>
        <vertAlign val="baseline"/>
        <sz val="11"/>
        <color rgb="FF000000"/>
        <name val="Aptos Narrow"/>
        <scheme val="minor"/>
      </font>
      <fill>
        <patternFill patternType="none">
          <fgColor indexed="64"/>
          <bgColor indexed="65"/>
        </patternFill>
      </fill>
      <alignment horizontal="general" vertical="top" textRotation="0" wrapText="0" indent="0" justifyLastLine="0" shrinkToFit="0" readingOrder="0"/>
      <border diagonalUp="0" diagonalDown="0">
        <left/>
        <right/>
        <top style="thin">
          <color rgb="FF8ED973"/>
        </top>
        <bottom style="thin">
          <color rgb="FF8ED973"/>
        </bottom>
        <vertical/>
        <horizontal/>
      </border>
    </dxf>
    <dxf>
      <font>
        <b val="0"/>
        <i val="0"/>
        <strike val="0"/>
        <condense val="0"/>
        <extend val="0"/>
        <outline val="0"/>
        <shadow val="0"/>
        <u val="none"/>
        <vertAlign val="baseline"/>
        <sz val="11"/>
        <color rgb="FF000000"/>
        <name val="Aptos Narrow"/>
        <scheme val="minor"/>
      </font>
      <fill>
        <patternFill patternType="none">
          <fgColor indexed="64"/>
          <bgColor indexed="65"/>
        </patternFill>
      </fill>
      <alignment horizontal="general" vertical="top" textRotation="0" wrapText="0" indent="0" justifyLastLine="0" shrinkToFit="0" readingOrder="0"/>
      <border diagonalUp="0" diagonalDown="0">
        <left/>
        <right/>
        <top style="thin">
          <color rgb="FF8ED973"/>
        </top>
        <bottom style="thin">
          <color rgb="FF8ED973"/>
        </bottom>
        <vertical/>
        <horizontal/>
      </border>
    </dxf>
    <dxf>
      <font>
        <b val="0"/>
        <i val="0"/>
        <strike val="0"/>
        <condense val="0"/>
        <extend val="0"/>
        <outline val="0"/>
        <shadow val="0"/>
        <u val="none"/>
        <vertAlign val="baseline"/>
        <sz val="11"/>
        <color rgb="FF000000"/>
        <name val="Aptos Narrow"/>
        <scheme val="minor"/>
      </font>
      <fill>
        <patternFill patternType="none">
          <fgColor indexed="64"/>
          <bgColor indexed="65"/>
        </patternFill>
      </fill>
      <alignment horizontal="general" vertical="top" textRotation="0" wrapText="0" indent="0" justifyLastLine="0" shrinkToFit="0" readingOrder="0"/>
      <border diagonalUp="0" diagonalDown="0">
        <left/>
        <right/>
        <top style="thin">
          <color rgb="FF8ED973"/>
        </top>
        <bottom style="thin">
          <color rgb="FF8ED973"/>
        </bottom>
        <vertical/>
        <horizontal/>
      </border>
    </dxf>
    <dxf>
      <font>
        <b val="0"/>
        <i val="0"/>
        <strike val="0"/>
        <condense val="0"/>
        <extend val="0"/>
        <outline val="0"/>
        <shadow val="0"/>
        <u val="none"/>
        <vertAlign val="baseline"/>
        <sz val="11"/>
        <color rgb="FF000000"/>
        <name val="Aptos Narrow"/>
        <scheme val="minor"/>
      </font>
      <fill>
        <patternFill patternType="none">
          <fgColor indexed="64"/>
          <bgColor indexed="65"/>
        </patternFill>
      </fill>
      <alignment horizontal="general" vertical="top" textRotation="0" wrapText="0" indent="0" justifyLastLine="0" shrinkToFit="0" readingOrder="0"/>
      <border diagonalUp="0" diagonalDown="0">
        <left/>
        <right/>
        <top style="thin">
          <color rgb="FF8ED973"/>
        </top>
        <bottom style="thin">
          <color rgb="FF8ED973"/>
        </bottom>
        <vertical/>
        <horizontal/>
      </border>
    </dxf>
    <dxf>
      <font>
        <b val="0"/>
        <i val="0"/>
        <strike val="0"/>
        <condense val="0"/>
        <extend val="0"/>
        <outline val="0"/>
        <shadow val="0"/>
        <u val="none"/>
        <vertAlign val="baseline"/>
        <sz val="11"/>
        <color rgb="FF000000"/>
        <name val="Aptos Narrow"/>
        <scheme val="minor"/>
      </font>
      <fill>
        <patternFill patternType="none">
          <fgColor indexed="64"/>
          <bgColor indexed="65"/>
        </patternFill>
      </fill>
      <alignment horizontal="general" vertical="top" textRotation="0" wrapText="0" indent="0" justifyLastLine="0" shrinkToFit="0" readingOrder="0"/>
      <border diagonalUp="0" diagonalDown="0">
        <left/>
        <right/>
        <top style="thin">
          <color rgb="FF8ED973"/>
        </top>
        <bottom style="thin">
          <color rgb="FF8ED973"/>
        </bottom>
        <vertical/>
        <horizontal/>
      </border>
    </dxf>
    <dxf>
      <font>
        <b val="0"/>
        <i val="0"/>
        <strike val="0"/>
        <condense val="0"/>
        <extend val="0"/>
        <outline val="0"/>
        <shadow val="0"/>
        <u val="none"/>
        <vertAlign val="baseline"/>
        <sz val="11"/>
        <color rgb="FF000000"/>
        <name val="Aptos Narrow"/>
        <scheme val="minor"/>
      </font>
      <fill>
        <patternFill patternType="none">
          <fgColor indexed="64"/>
          <bgColor indexed="65"/>
        </patternFill>
      </fill>
      <alignment horizontal="general" vertical="top" textRotation="0" wrapText="0" indent="0" justifyLastLine="0" shrinkToFit="0" readingOrder="0"/>
      <border diagonalUp="0" diagonalDown="0">
        <left/>
        <right/>
        <top style="thin">
          <color rgb="FF8ED973"/>
        </top>
        <bottom style="thin">
          <color rgb="FF8ED973"/>
        </bottom>
        <vertical/>
        <horizontal/>
      </border>
    </dxf>
    <dxf>
      <font>
        <b val="0"/>
        <i val="0"/>
        <strike val="0"/>
        <condense val="0"/>
        <extend val="0"/>
        <outline val="0"/>
        <shadow val="0"/>
        <u val="none"/>
        <vertAlign val="baseline"/>
        <sz val="11"/>
        <color rgb="FF000000"/>
        <name val="Aptos Narrow"/>
        <scheme val="minor"/>
      </font>
      <fill>
        <patternFill patternType="none">
          <fgColor indexed="64"/>
          <bgColor indexed="65"/>
        </patternFill>
      </fill>
      <alignment horizontal="general" vertical="top" textRotation="0" wrapText="0" indent="0" justifyLastLine="0" shrinkToFit="0" readingOrder="0"/>
      <border diagonalUp="0" diagonalDown="0">
        <left/>
        <right/>
        <top style="thin">
          <color rgb="FF8ED973"/>
        </top>
        <bottom style="thin">
          <color rgb="FF8ED973"/>
        </bottom>
        <vertical/>
        <horizontal/>
      </border>
    </dxf>
    <dxf>
      <font>
        <b val="0"/>
        <i val="0"/>
        <strike val="0"/>
        <condense val="0"/>
        <extend val="0"/>
        <outline val="0"/>
        <shadow val="0"/>
        <u val="none"/>
        <vertAlign val="baseline"/>
        <sz val="11"/>
        <color rgb="FF000000"/>
        <name val="Aptos Narrow"/>
        <scheme val="minor"/>
      </font>
      <fill>
        <patternFill patternType="none">
          <fgColor indexed="64"/>
          <bgColor indexed="65"/>
        </patternFill>
      </fill>
      <alignment horizontal="general" vertical="top" textRotation="0" wrapText="0" indent="0" justifyLastLine="0" shrinkToFit="0" readingOrder="0"/>
      <border diagonalUp="0" diagonalDown="0">
        <left/>
        <right/>
        <top style="thin">
          <color rgb="FF8ED973"/>
        </top>
        <bottom style="thin">
          <color rgb="FF8ED973"/>
        </bottom>
        <vertical/>
        <horizontal/>
      </border>
    </dxf>
    <dxf>
      <font>
        <b val="0"/>
        <i val="0"/>
        <strike val="0"/>
        <condense val="0"/>
        <extend val="0"/>
        <outline val="0"/>
        <shadow val="0"/>
        <u val="none"/>
        <vertAlign val="baseline"/>
        <sz val="11"/>
        <color rgb="FF000000"/>
        <name val="Aptos Narrow"/>
        <scheme val="minor"/>
      </font>
      <fill>
        <patternFill patternType="none">
          <fgColor indexed="64"/>
          <bgColor indexed="65"/>
        </patternFill>
      </fill>
      <alignment horizontal="general" vertical="top" textRotation="0" wrapText="0" indent="0" justifyLastLine="0" shrinkToFit="0" readingOrder="0"/>
      <border diagonalUp="0" diagonalDown="0">
        <left/>
        <right/>
        <top style="thin">
          <color rgb="FF8ED973"/>
        </top>
        <bottom style="thin">
          <color rgb="FF8ED973"/>
        </bottom>
        <vertical/>
        <horizontal/>
      </border>
    </dxf>
    <dxf>
      <font>
        <b val="0"/>
        <i val="0"/>
        <strike val="0"/>
        <condense val="0"/>
        <extend val="0"/>
        <outline val="0"/>
        <shadow val="0"/>
        <u val="none"/>
        <vertAlign val="baseline"/>
        <sz val="11"/>
        <color rgb="FF000000"/>
        <name val="Aptos Narrow"/>
        <scheme val="minor"/>
      </font>
      <fill>
        <patternFill patternType="none">
          <fgColor indexed="64"/>
          <bgColor indexed="65"/>
        </patternFill>
      </fill>
      <alignment horizontal="general" vertical="top" textRotation="0" wrapText="0" indent="0" justifyLastLine="0" shrinkToFit="0" readingOrder="0"/>
      <border diagonalUp="0" diagonalDown="0">
        <left/>
        <right/>
        <top style="thin">
          <color rgb="FF8ED973"/>
        </top>
        <bottom style="thin">
          <color rgb="FF8ED973"/>
        </bottom>
        <vertical/>
        <horizontal/>
      </border>
    </dxf>
    <dxf>
      <font>
        <b val="0"/>
        <i val="0"/>
        <strike val="0"/>
        <condense val="0"/>
        <extend val="0"/>
        <outline val="0"/>
        <shadow val="0"/>
        <u val="none"/>
        <vertAlign val="baseline"/>
        <sz val="11"/>
        <color rgb="FF000000"/>
        <name val="Aptos Narrow"/>
        <scheme val="minor"/>
      </font>
      <fill>
        <patternFill patternType="none">
          <fgColor indexed="64"/>
          <bgColor indexed="65"/>
        </patternFill>
      </fill>
      <alignment horizontal="general" vertical="top" textRotation="0" wrapText="0" indent="0" justifyLastLine="0" shrinkToFit="0" readingOrder="0"/>
      <border diagonalUp="0" diagonalDown="0">
        <left/>
        <right/>
        <top style="thin">
          <color rgb="FF8ED973"/>
        </top>
        <bottom style="thin">
          <color rgb="FF8ED973"/>
        </bottom>
        <vertical/>
        <horizontal/>
      </border>
    </dxf>
    <dxf>
      <font>
        <b val="0"/>
        <i val="0"/>
        <strike val="0"/>
        <condense val="0"/>
        <extend val="0"/>
        <outline val="0"/>
        <shadow val="0"/>
        <u val="none"/>
        <vertAlign val="baseline"/>
        <sz val="11"/>
        <color rgb="FF000000"/>
        <name val="Aptos Narrow"/>
        <scheme val="minor"/>
      </font>
      <fill>
        <patternFill patternType="none">
          <fgColor indexed="64"/>
          <bgColor indexed="65"/>
        </patternFill>
      </fill>
      <alignment horizontal="general" vertical="top" textRotation="0" wrapText="0" indent="0" justifyLastLine="0" shrinkToFit="0" readingOrder="0"/>
      <border diagonalUp="0" diagonalDown="0">
        <left/>
        <right/>
        <top style="thin">
          <color rgb="FF8ED973"/>
        </top>
        <bottom style="thin">
          <color rgb="FF8ED973"/>
        </bottom>
        <vertical/>
        <horizontal/>
      </border>
    </dxf>
    <dxf>
      <font>
        <b val="0"/>
        <i val="0"/>
        <strike val="0"/>
        <condense val="0"/>
        <extend val="0"/>
        <outline val="0"/>
        <shadow val="0"/>
        <u val="none"/>
        <vertAlign val="baseline"/>
        <sz val="11"/>
        <color rgb="FF000000"/>
        <name val="Aptos Narrow"/>
        <scheme val="minor"/>
      </font>
      <fill>
        <patternFill patternType="none">
          <fgColor indexed="64"/>
          <bgColor indexed="65"/>
        </patternFill>
      </fill>
      <border diagonalUp="0" diagonalDown="0">
        <left/>
        <right/>
        <top style="thin">
          <color rgb="FF8ED973"/>
        </top>
        <bottom style="thin">
          <color rgb="FF8ED973"/>
        </bottom>
        <vertical/>
        <horizontal/>
      </border>
    </dxf>
    <dxf>
      <border outline="0">
        <top style="thin">
          <color rgb="FF8ED973"/>
        </top>
      </border>
    </dxf>
    <dxf>
      <border outline="0">
        <left style="thin">
          <color rgb="FF8ED973"/>
        </left>
        <right style="thin">
          <color rgb="FF8ED973"/>
        </right>
        <top style="thin">
          <color rgb="FF8ED973"/>
        </top>
        <bottom style="thin">
          <color rgb="FF8ED973"/>
        </bottom>
      </border>
    </dxf>
    <dxf>
      <font>
        <b val="0"/>
        <i val="0"/>
        <strike val="0"/>
        <condense val="0"/>
        <extend val="0"/>
        <outline val="0"/>
        <shadow val="0"/>
        <u val="none"/>
        <vertAlign val="baseline"/>
        <sz val="11"/>
        <color rgb="FF000000"/>
        <name val="Aptos Narrow"/>
        <scheme val="minor"/>
      </font>
      <fill>
        <patternFill patternType="none">
          <fgColor indexed="64"/>
          <bgColor indexed="65"/>
        </patternFill>
      </fill>
      <alignment horizontal="general" vertical="top" textRotation="0" wrapText="0" indent="0" justifyLastLine="0" shrinkToFit="0" readingOrder="0"/>
    </dxf>
    <dxf>
      <border outline="0">
        <bottom style="thin">
          <color rgb="FF8ED973"/>
        </bottom>
      </border>
    </dxf>
    <dxf>
      <font>
        <b/>
        <i val="0"/>
        <strike val="0"/>
        <condense val="0"/>
        <extend val="0"/>
        <outline val="0"/>
        <shadow val="0"/>
        <u val="none"/>
        <vertAlign val="baseline"/>
        <sz val="11"/>
        <color rgb="FFFFFFFF"/>
        <name val="Aptos Narrow"/>
        <scheme val="minor"/>
      </font>
      <fill>
        <patternFill patternType="solid">
          <fgColor rgb="FF4EA72E"/>
          <bgColor rgb="FF4EA72E"/>
        </patternFill>
      </fill>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
      <font>
        <b val="0"/>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
      <font>
        <outline val="0"/>
        <shadow val="0"/>
        <vertAlign val="baseline"/>
        <color theme="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documenttasks/documenttask1.xml><?xml version="1.0" encoding="utf-8"?>
<Tasks xmlns="http://schemas.microsoft.com/office/tasks/2019/documenttasks">
  <Task id="{85F61D0B-F98F-41DA-B2DC-AA5D08CE39BC}">
    <Anchor>
      <Comment id="{AEBE49BE-28B3-4AB0-85BE-871869997F16}"/>
    </Anchor>
    <History>
      <Event time="2025-02-24T12:00:22.54" id="{902754F6-4BF4-477F-800C-8CF06E46AC51}">
        <Attribution userId="S::adam.trendowicz@iese.fraunhofer.de::9afc89d1-8064-4663-846e-1567cc33a121" userName="Trendowicz, Adam" userProvider="AD"/>
        <Anchor>
          <Comment id="{AEBE49BE-28B3-4AB0-85BE-871869997F16}"/>
        </Anchor>
        <Create/>
      </Event>
      <Event time="2025-02-24T12:00:22.54" id="{5376A3B1-D7B2-4423-8661-70AFE7510F5F}">
        <Attribution userId="S::adam.trendowicz@iese.fraunhofer.de::9afc89d1-8064-4663-846e-1567cc33a121" userName="Trendowicz, Adam" userProvider="AD"/>
        <Anchor>
          <Comment id="{AEBE49BE-28B3-4AB0-85BE-871869997F16}"/>
        </Anchor>
        <Assign userId="S::elise.wolf@iese.fraunhofer.de::0fc50539-d5a5-4151-8d7e-c25197c6e819" userName="Wolf, Elise" userProvider="AD"/>
      </Event>
      <Event time="2025-02-24T12:00:22.54" id="{462F3CD8-FD79-4753-8A08-001ED4EED634}">
        <Attribution userId="S::adam.trendowicz@iese.fraunhofer.de::9afc89d1-8064-4663-846e-1567cc33a121" userName="Trendowicz, Adam" userProvider="AD"/>
        <Anchor>
          <Comment id="{AEBE49BE-28B3-4AB0-85BE-871869997F16}"/>
        </Anchor>
        <SetTitle title="@Wolf, Elise Das sind wahrscheinlich die Metriken um Modelle ze evaluieren. Aber in der Spalte geht es um Metriken um Qualitätsaspekte aus dem Model zu quantifizieren."/>
      </Event>
    </History>
  </Task>
  <Task id="{F15C406D-9A56-4959-B167-C5707342E76D}">
    <Anchor>
      <Comment id="{B2F5E8CF-CA72-484C-A3F7-42492AE53F87}"/>
    </Anchor>
    <History>
      <Event time="2025-03-05T07:43:47.78" id="{97C10BB5-E5D3-4FA9-A84D-BAA7600AD4D5}">
        <Attribution userId="S::adam.trendowicz@iese.fraunhofer.de::9afc89d1-8064-4663-846e-1567cc33a121" userName="Trendowicz, Adam" userProvider="AD"/>
        <Anchor>
          <Comment id="{B2F5E8CF-CA72-484C-A3F7-42492AE53F87}"/>
        </Anchor>
        <Create/>
      </Event>
      <Event time="2025-03-05T07:43:47.78" id="{26509BAD-8A1B-40CF-854D-C76F0F4E44EB}">
        <Attribution userId="S::adam.trendowicz@iese.fraunhofer.de::9afc89d1-8064-4663-846e-1567cc33a121" userName="Trendowicz, Adam" userProvider="AD"/>
        <Anchor>
          <Comment id="{B2F5E8CF-CA72-484C-A3F7-42492AE53F87}"/>
        </Anchor>
        <Assign userId="S::julien.siebert@iese.fraunhofer.de::b61c5f8d-dd9b-4a50-a794-16e5297fb670" userName="Siebert, Julien" userProvider="AD"/>
      </Event>
      <Event time="2025-03-05T07:43:47.78" id="{EB61EC0C-8351-413A-BDFB-00EED84B22F8}">
        <Attribution userId="S::adam.trendowicz@iese.fraunhofer.de::9afc89d1-8064-4663-846e-1567cc33a121" userName="Trendowicz, Adam" userProvider="AD"/>
        <Anchor>
          <Comment id="{B2F5E8CF-CA72-484C-A3F7-42492AE53F87}"/>
        </Anchor>
        <SetTitle title="@Siebert, Julien Das Paper schein nicht wirklich sich mit Qualität der Anforderungen zu beschäftigen. Bitte prüfe ob das tatsächlich “include” ist."/>
      </Event>
      <Event time="2025-03-05T08:59:23.51" id="{C97EF38C-5A6B-481A-88A3-03FBB5D4F58C}">
        <Attribution userId="S::julien.siebert@iese.fraunhofer.de::b61c5f8d-dd9b-4a50-a794-16e5297fb670" userName="Siebert, Julien" userProvider="AD"/>
        <Progress percentComplete="100"/>
      </Event>
    </History>
  </Task>
  <Task id="{95E3D783-C8D5-45DE-B44B-AF060F265871}">
    <Anchor>
      <Comment id="{92ECB32C-9CC0-4A6E-A946-F4A0650FFC13}"/>
    </Anchor>
    <History>
      <Event time="2025-03-05T07:55:20.76" id="{E9A111BD-3FB2-4CA5-B9D3-3B48EDC88117}">
        <Attribution userId="S::adam.trendowicz@iese.fraunhofer.de::9afc89d1-8064-4663-846e-1567cc33a121" userName="Trendowicz, Adam" userProvider="AD"/>
        <Anchor>
          <Comment id="{92ECB32C-9CC0-4A6E-A946-F4A0650FFC13}"/>
        </Anchor>
        <Create/>
      </Event>
      <Event time="2025-03-05T07:55:20.76" id="{90848E25-5A26-4F4F-8934-D9CB969A2C73}">
        <Attribution userId="S::adam.trendowicz@iese.fraunhofer.de::9afc89d1-8064-4663-846e-1567cc33a121" userName="Trendowicz, Adam" userProvider="AD"/>
        <Anchor>
          <Comment id="{92ECB32C-9CC0-4A6E-A946-F4A0650FFC13}"/>
        </Anchor>
        <Assign userId="S::julien.siebert@iese.fraunhofer.de::b61c5f8d-dd9b-4a50-a794-16e5297fb670" userName="Siebert, Julien" userProvider="AD"/>
      </Event>
      <Event time="2025-03-05T07:55:20.76" id="{EAC5D9A2-F554-4616-8EFB-3E4F2B6A2C38}">
        <Attribution userId="S::adam.trendowicz@iese.fraunhofer.de::9afc89d1-8064-4663-846e-1567cc33a121" userName="Trendowicz, Adam" userProvider="AD"/>
        <Anchor>
          <Comment id="{92ECB32C-9CC0-4A6E-A946-F4A0650FFC13}"/>
        </Anchor>
        <SetTitle title="@Siebert, Julien Das Paper schein sich mit Klassifikation der nichtfunktionalen Anforderungen zu beschäftigen - nicht mit derer Qualitätsbewertung --&gt; bitte prüfe ob das tatsächlich “include” ist"/>
      </Event>
      <Event time="2025-03-05T08:59:36.91" id="{FF4373C5-A465-4089-97F2-F18DB4CDFB0B}">
        <Attribution userId="S::julien.siebert@iese.fraunhofer.de::b61c5f8d-dd9b-4a50-a794-16e5297fb670" userName="Siebert, Julien" userProvider="AD"/>
        <Progress percentComplete="100"/>
      </Event>
    </History>
  </Task>
  <Task id="{7C1B14B0-6121-4956-BDCC-DCA31DFBC9B6}">
    <Anchor>
      <Comment id="{49E62CAF-B617-4905-8C05-C719C3BE4C1B}"/>
    </Anchor>
    <History>
      <Event time="2025-03-05T12:48:11.34" id="{DA5D9C47-4FBF-4144-8A9B-02CF40AA6B74}">
        <Attribution userId="S::adam.trendowicz@iese.fraunhofer.de::9afc89d1-8064-4663-846e-1567cc33a121" userName="Trendowicz, Adam" userProvider="AD"/>
        <Anchor>
          <Comment id="{49E62CAF-B617-4905-8C05-C719C3BE4C1B}"/>
        </Anchor>
        <Create/>
      </Event>
      <Event time="2025-03-05T12:48:11.34" id="{3D526362-C9CD-40DB-A1A7-230E94F72FB5}">
        <Attribution userId="S::adam.trendowicz@iese.fraunhofer.de::9afc89d1-8064-4663-846e-1567cc33a121" userName="Trendowicz, Adam" userProvider="AD"/>
        <Anchor>
          <Comment id="{49E62CAF-B617-4905-8C05-C719C3BE4C1B}"/>
        </Anchor>
        <Assign userId="S::julien.siebert@iese.fraunhofer.de::b61c5f8d-dd9b-4a50-a794-16e5297fb670" userName="Siebert, Julien" userProvider="AD"/>
      </Event>
      <Event time="2025-03-05T12:48:11.34" id="{5769874B-4B07-4A50-A59E-46884C0793CB}">
        <Attribution userId="S::adam.trendowicz@iese.fraunhofer.de::9afc89d1-8064-4663-846e-1567cc33a121" userName="Trendowicz, Adam" userProvider="AD"/>
        <Anchor>
          <Comment id="{49E62CAF-B617-4905-8C05-C719C3BE4C1B}"/>
        </Anchor>
        <SetTitle title="@Siebert, Julien hier wäre eher wie Ambiguity genmessen wurde. F1 usw. beziehen sie wahrscheinlich an die Evaluation des Ansatzes."/>
      </Event>
    </History>
  </Task>
  <Task id="{BF158FBC-C667-4BB7-A7BE-6075CDE3D926}">
    <Anchor>
      <Comment id="{758CF9DC-CDD9-4DEF-B665-8339AC13D91C}"/>
    </Anchor>
    <History>
      <Event time="2025-03-05T08:18:26.55" id="{B44E351B-B360-46B3-A56F-6DDA83924994}">
        <Attribution userId="S::adam.trendowicz@iese.fraunhofer.de::9afc89d1-8064-4663-846e-1567cc33a121" userName="Trendowicz, Adam" userProvider="AD"/>
        <Anchor>
          <Comment id="{758CF9DC-CDD9-4DEF-B665-8339AC13D91C}"/>
        </Anchor>
        <Create/>
      </Event>
      <Event time="2025-03-05T08:18:26.55" id="{ECEF3FCF-11E1-4BBD-8DAE-5CD6FA4262A5}">
        <Attribution userId="S::adam.trendowicz@iese.fraunhofer.de::9afc89d1-8064-4663-846e-1567cc33a121" userName="Trendowicz, Adam" userProvider="AD"/>
        <Anchor>
          <Comment id="{758CF9DC-CDD9-4DEF-B665-8339AC13D91C}"/>
        </Anchor>
        <Assign userId="S::julien.siebert@iese.fraunhofer.de::b61c5f8d-dd9b-4a50-a794-16e5297fb670" userName="Siebert, Julien" userProvider="AD"/>
      </Event>
      <Event time="2025-03-05T08:18:26.55" id="{99B5E8C9-27FD-48B0-9B13-A7EB7DFD15B2}">
        <Attribution userId="S::adam.trendowicz@iese.fraunhofer.de::9afc89d1-8064-4663-846e-1567cc33a121" userName="Trendowicz, Adam" userProvider="AD"/>
        <Anchor>
          <Comment id="{758CF9DC-CDD9-4DEF-B665-8339AC13D91C}"/>
        </Anchor>
        <SetTitle title="@Siebert, Julien Das Paper ist eher über Qualität des Interviews zum Erfassen der Anforderungen als über Qualität der Anforderungen selbst. Für mich wäre das “exclude”"/>
      </Event>
      <Event time="2025-03-05T08:59:41.14" id="{225B665C-1077-4170-BD29-DA7F4A6FC7C8}">
        <Attribution userId="S::julien.siebert@iese.fraunhofer.de::b61c5f8d-dd9b-4a50-a794-16e5297fb670" userName="Siebert, Julien" userProvider="AD"/>
        <Progress percentComplete="100"/>
      </Event>
    </History>
  </Task>
  <Task id="{C96C9BC5-ED38-48A2-A591-6A6A2114E41C}">
    <Anchor>
      <Comment id="{8072C9C2-CF39-42AD-B428-C74E7CAB9932}"/>
    </Anchor>
    <History>
      <Event time="2025-03-05T08:39:12.90" id="{10C532CE-124E-449A-9978-8FD3620881D9}">
        <Attribution userId="S::adam.trendowicz@iese.fraunhofer.de::9afc89d1-8064-4663-846e-1567cc33a121" userName="Trendowicz, Adam" userProvider="AD"/>
        <Anchor>
          <Comment id="{8072C9C2-CF39-42AD-B428-C74E7CAB9932}"/>
        </Anchor>
        <Create/>
      </Event>
      <Event time="2025-03-05T08:39:12.90" id="{64818DE5-E2EB-4E19-9D4D-6B7DA9BE3B95}">
        <Attribution userId="S::adam.trendowicz@iese.fraunhofer.de::9afc89d1-8064-4663-846e-1567cc33a121" userName="Trendowicz, Adam" userProvider="AD"/>
        <Anchor>
          <Comment id="{8072C9C2-CF39-42AD-B428-C74E7CAB9932}"/>
        </Anchor>
        <Assign userId="S::julien.siebert@iese.fraunhofer.de::b61c5f8d-dd9b-4a50-a794-16e5297fb670" userName="Siebert, Julien" userProvider="AD"/>
      </Event>
      <Event time="2025-03-05T08:39:12.90" id="{8A73A3CE-39E9-4A62-83CB-89B55E79BE0F}">
        <Attribution userId="S::adam.trendowicz@iese.fraunhofer.de::9afc89d1-8064-4663-846e-1567cc33a121" userName="Trendowicz, Adam" userProvider="AD"/>
        <Anchor>
          <Comment id="{8072C9C2-CF39-42AD-B428-C74E7CAB9932}"/>
        </Anchor>
        <SetTitle title="@Siebert, Julien Das Paper scheint “exclude” zu sein: “we investigate suitable NLP methods to automate the process of creating requirement models from the requirements and design specification.”"/>
      </Event>
      <Event time="2025-03-05T08:59:47.18" id="{4A17FB36-A40C-4817-8A28-EC44B425B1C2}">
        <Attribution userId="S::julien.siebert@iese.fraunhofer.de::b61c5f8d-dd9b-4a50-a794-16e5297fb670" userName="Siebert, Julien" userProvider="AD"/>
        <Progress percentComplete="100"/>
      </Event>
    </History>
  </Task>
  <Task id="{E22B49DC-5DC6-4A41-8215-1C8BCD09A01C}">
    <Anchor>
      <Comment id="{72363EF6-4DB9-434D-B48F-E25C04524F90}"/>
    </Anchor>
    <History>
      <Event time="2025-02-21T15:29:38.07" id="{164E1FE6-B0C3-4C9C-A381-714F1D741D6A}">
        <Attribution userId="S::adam.trendowicz@iese.fraunhofer.de::9afc89d1-8064-4663-846e-1567cc33a121" userName="Trendowicz, Adam" userProvider="AD"/>
        <Anchor>
          <Comment id="{72363EF6-4DB9-434D-B48F-E25C04524F90}"/>
        </Anchor>
        <Create/>
      </Event>
      <Event time="2025-02-21T15:29:38.07" id="{B58C4C67-B97C-4758-AD95-4FA9973E30C3}">
        <Attribution userId="S::adam.trendowicz@iese.fraunhofer.de::9afc89d1-8064-4663-846e-1567cc33a121" userName="Trendowicz, Adam" userProvider="AD"/>
        <Anchor>
          <Comment id="{72363EF6-4DB9-434D-B48F-E25C04524F90}"/>
        </Anchor>
        <Assign userId="S::elise.wolf@iese.fraunhofer.de::0fc50539-d5a5-4151-8d7e-c25197c6e819" userName="Wolf, Elise" userProvider="AD"/>
      </Event>
      <Event time="2025-02-21T15:29:38.07" id="{43C723AE-E6D1-45A5-ACD5-D95B245A474F}">
        <Attribution userId="S::adam.trendowicz@iese.fraunhofer.de::9afc89d1-8064-4663-846e-1567cc33a121" userName="Trendowicz, Adam" userProvider="AD"/>
        <Anchor>
          <Comment id="{72363EF6-4DB9-434D-B48F-E25C04524F90}"/>
        </Anchor>
        <SetTitle title="@Wolf, Elise diese Paper scheint die Anforderungen nach ihren Typ zu klassifizieren, nicht deren Qualität zu bewerten - damit würde es ausfallen."/>
      </Event>
    </History>
  </Task>
  <Task id="{34B6F0DC-3645-4ECB-98E6-999BF971D87A}">
    <Anchor>
      <Comment id="{8F3ABC83-CEAE-4FD4-B7F8-ED92B743CBB8}"/>
    </Anchor>
    <History>
      <Event time="2025-02-21T15:27:55.22" id="{8796C2F1-D9C5-4CF2-97DC-B1D0906E3C3D}">
        <Attribution userId="S::adam.trendowicz@iese.fraunhofer.de::9afc89d1-8064-4663-846e-1567cc33a121" userName="Trendowicz, Adam" userProvider="AD"/>
        <Anchor>
          <Comment id="{8F3ABC83-CEAE-4FD4-B7F8-ED92B743CBB8}"/>
        </Anchor>
        <Create/>
      </Event>
      <Event time="2025-02-21T15:27:55.22" id="{44C51F34-0AD0-4D93-9CBF-BE206CD0B2F2}">
        <Attribution userId="S::adam.trendowicz@iese.fraunhofer.de::9afc89d1-8064-4663-846e-1567cc33a121" userName="Trendowicz, Adam" userProvider="AD"/>
        <Anchor>
          <Comment id="{8F3ABC83-CEAE-4FD4-B7F8-ED92B743CBB8}"/>
        </Anchor>
        <Assign userId="S::elise.wolf@iese.fraunhofer.de::0fc50539-d5a5-4151-8d7e-c25197c6e819" userName="Wolf, Elise" userProvider="AD"/>
      </Event>
      <Event time="2025-02-21T15:27:55.22" id="{7EB10670-BFE2-4BE5-AC89-E6278C5CA54B}">
        <Attribution userId="S::adam.trendowicz@iese.fraunhofer.de::9afc89d1-8064-4663-846e-1567cc33a121" userName="Trendowicz, Adam" userProvider="AD"/>
        <Anchor>
          <Comment id="{8F3ABC83-CEAE-4FD4-B7F8-ED92B743CBB8}"/>
        </Anchor>
        <SetTitle title="@Wolf, Elise das sind aber Typen von Requirements (z.B. Anforderung an Software Performanz), nicht Qualitätsattributen von Requirements (z.B. wie im INVEST definiert)."/>
      </Event>
    </History>
  </Task>
</Tasks>
</file>

<file path=xl/persons/person.xml><?xml version="1.0" encoding="utf-8"?>
<personList xmlns="http://schemas.microsoft.com/office/spreadsheetml/2018/threadedcomments" xmlns:x="http://schemas.openxmlformats.org/spreadsheetml/2006/main">
  <person displayName="Wolf, Elise" id="{E3FDF6E9-1789-49C5-9964-E61CAC3E7DCF}" userId="elise.wolf@iese.fraunhofer.de" providerId="PeoplePicker"/>
  <person displayName="Siebert, Julien" id="{FE6387FE-7F1A-4F51-9102-EC0D6888ADF2}" userId="julien.siebert@iese.fraunhofer.de" providerId="PeoplePicker"/>
  <person displayName="Wolf, Elise" id="{A8FD032A-4F01-4FA6-A895-E204241ADEA3}" userId="S::elise.wolf@iese.fraunhofer.de::0fc50539-d5a5-4151-8d7e-c25197c6e819" providerId="AD"/>
  <person displayName="Siebert, Julien" id="{A0A07654-37B3-45BA-AC41-22CD8EB03D46}" userId="S::julien.siebert@iese.fraunhofer.de::b61c5f8d-dd9b-4a50-a794-16e5297fb670" providerId="AD"/>
  <person displayName="Trendowicz, Adam" id="{9761082B-1E0E-40E8-8B3B-F3144BF392D4}" userId="S::adam.trendowicz@iese.fraunhofer.de::9afc89d1-8064-4663-846e-1567cc33a121"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2B599A18-373B-FA48-9257-BEDFF3F28892}" autoFormatId="16" applyNumberFormats="0" applyBorderFormats="0" applyFontFormats="0" applyPatternFormats="0" applyAlignmentFormats="0" applyWidthHeightFormats="0">
  <queryTableRefresh nextId="9" unboundColumnsRight="2">
    <queryTableFields count="8">
      <queryTableField id="1" name="Aspekt" tableColumnId="1"/>
      <queryTableField id="2" name="Synonyme/Varianten (Anzahl)" tableColumnId="2"/>
      <queryTableField id="3" name="Gesamt" tableColumnId="3"/>
      <queryTableField id="4" name="Definition / Quelle(n)" tableColumnId="4"/>
      <queryTableField id="5" name="Purpose" tableColumnId="5"/>
      <queryTableField id="6" name="Phase" tableColumnId="6"/>
      <queryTableField id="7" dataBound="0" tableColumnId="7"/>
      <queryTableField id="8" dataBound="0" tableColumnId="8"/>
    </queryTableFields>
  </queryTableRefresh>
</queryTable>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6D4CA3-8485-4D27-8440-6FF0DC993DD0}" name="Table2" displayName="Table2" ref="A1:AA354" totalsRowShown="0" headerRowDxfId="155" dataDxfId="154">
  <autoFilter ref="A1:AA354" xr:uid="{0977ECA1-74B0-4500-A125-5715D6E8129C}"/>
  <tableColumns count="27">
    <tableColumn id="1" xr3:uid="{88FC0F55-3409-40D8-A90D-B253EA85B755}" name="ID" dataDxfId="153"/>
    <tableColumn id="2" xr3:uid="{887DDFBE-5938-4075-875F-5A8A8CB5E4E6}" name="Authors" dataDxfId="152"/>
    <tableColumn id="3" xr3:uid="{CE38A6FE-B291-4C62-8D57-DA4A58520265}" name="Author full names" dataDxfId="151"/>
    <tableColumn id="4" xr3:uid="{43939589-81CC-41EA-8600-7FF686A0E680}" name="Author(s) ID" dataDxfId="150"/>
    <tableColumn id="5" xr3:uid="{95F8F114-4495-4EFB-B78F-026B012FA317}" name="Title" dataDxfId="149"/>
    <tableColumn id="6" xr3:uid="{2A5189BF-8405-4CFA-8548-0F5D94698074}" name="Abstract" dataDxfId="148"/>
    <tableColumn id="7" xr3:uid="{B4421EEE-9B5F-4E28-9543-C8CA5B6C7630}" name="Year" dataDxfId="147"/>
    <tableColumn id="8" xr3:uid="{64E1832E-2B93-41C1-81EB-837A6ABCC894}" name="Source title" dataDxfId="146"/>
    <tableColumn id="9" xr3:uid="{C4CBC54E-717B-47B5-A34C-9BBB2C2106DA}" name="Volume" dataDxfId="145"/>
    <tableColumn id="10" xr3:uid="{4A936009-649C-4AB5-A4F0-37CBB6A59815}" name="Issue" dataDxfId="144"/>
    <tableColumn id="11" xr3:uid="{9C2DFD60-2DBA-459D-8DCD-2A3590A3ED93}" name="Art. No." dataDxfId="143"/>
    <tableColumn id="12" xr3:uid="{ED94DA49-460A-4B90-AE46-061A4841BDB9}" name="Page start" dataDxfId="142"/>
    <tableColumn id="13" xr3:uid="{CE1E2F59-35E4-4FAB-8025-02F05B15BD6B}" name="Page end" dataDxfId="141"/>
    <tableColumn id="14" xr3:uid="{AAC85610-29D9-4913-A7D3-3E0099318601}" name="Page count" dataDxfId="140"/>
    <tableColumn id="15" xr3:uid="{09DD2990-4978-459A-B96F-9C44CEA03E4E}" name="DOI" dataDxfId="139"/>
    <tableColumn id="16" xr3:uid="{683FE30C-481E-40DF-A2C0-A08BB6A4C613}" name="Link" dataDxfId="138"/>
    <tableColumn id="17" xr3:uid="{75EA8B0E-092F-4C71-9795-3030515959DA}" name="Document Type" dataDxfId="137"/>
    <tableColumn id="18" xr3:uid="{E733EE64-D9AF-48C0-9E97-95BF49D28A97}" name="Source" dataDxfId="136"/>
    <tableColumn id="36" xr3:uid="{2E592A81-AE86-4B52-B229-20636DEC70F8}" name="Review duplicate" dataDxfId="135"/>
    <tableColumn id="37" xr3:uid="{673BB1DB-6FB3-4F76-B970-07C3EA82A6D0}" name="Review EC1" dataDxfId="134"/>
    <tableColumn id="32" xr3:uid="{E8036F1C-5014-4B52-ADFD-FC86B4123D75}" name="Review EC2" dataDxfId="133"/>
    <tableColumn id="31" xr3:uid="{192BE011-8341-4C75-A05E-5CF407A26C71}" name="Review EC3" dataDxfId="132"/>
    <tableColumn id="33" xr3:uid="{484A1880-5547-47CE-A377-56417C0A727E}" name="Review EC4" dataDxfId="131"/>
    <tableColumn id="34" xr3:uid="{043CDD56-E783-4F2F-A142-4D3F5B536BDB}" name="Review EC5" dataDxfId="130"/>
    <tableColumn id="39" xr3:uid="{F515D77F-D8D3-4EAC-BD32-C49DE12E2191}" name="Review EC6: Title" dataDxfId="129"/>
    <tableColumn id="40" xr3:uid="{08B9333E-F0BB-47CB-B0F7-4FC5BE7C06AF}" name="Review EC6: Abstract" dataDxfId="128"/>
    <tableColumn id="42" xr3:uid="{122DE1A9-5E7D-4525-A474-1213C6A04064}" name="Review EC6: full text" dataDxfId="1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9D0CEB-DA72-4A02-BFDA-D56304761D11}" name="Table3" displayName="Table3" ref="A1:AB5" totalsRowShown="0" headerRowDxfId="126" dataDxfId="125">
  <autoFilter ref="A1:AB5" xr:uid="{349D0CEB-DA72-4A02-BFDA-D56304761D11}"/>
  <tableColumns count="28">
    <tableColumn id="1" xr3:uid="{2D56BAD9-6D41-4481-BE42-CB0F55578CF9}" name="ID" dataDxfId="124"/>
    <tableColumn id="2" xr3:uid="{9A6FE60D-D7AD-428C-B49E-4329CF998BE6}" name="Authors" dataDxfId="123"/>
    <tableColumn id="3" xr3:uid="{1FBEAAC4-3B1E-4EF1-9D01-74B6021E3C34}" name="Author full names" dataDxfId="122"/>
    <tableColumn id="4" xr3:uid="{F3F7307F-AA16-49B2-98C6-B56ED442673F}" name="Author(s) ID" dataDxfId="121"/>
    <tableColumn id="5" xr3:uid="{E4236373-217E-4F79-A7D0-F9D7A06DF174}" name="Title" dataDxfId="120"/>
    <tableColumn id="6" xr3:uid="{E4ABC061-88AE-4BE3-9F8D-F1D6D0492BCE}" name="Abstract" dataDxfId="119"/>
    <tableColumn id="7" xr3:uid="{6540A178-556A-414F-908C-D09B6A780B56}" name="Year" dataDxfId="118"/>
    <tableColumn id="8" xr3:uid="{8F78E7F1-387A-47E2-9EB9-EFBAFC19C24B}" name="Source title" dataDxfId="117"/>
    <tableColumn id="9" xr3:uid="{4AD37358-E2E9-4847-8687-E5F2AECAA3E0}" name="Volume" dataDxfId="116"/>
    <tableColumn id="10" xr3:uid="{DDDFC8A0-EF4E-4235-9050-F70D0C25D891}" name="Issue" dataDxfId="115"/>
    <tableColumn id="11" xr3:uid="{8CE22A11-B021-4349-A85E-B3166565CBC4}" name="Art. No." dataDxfId="114"/>
    <tableColumn id="12" xr3:uid="{C70E3972-4F4F-43AB-85DC-74D25D437935}" name="Page start" dataDxfId="113"/>
    <tableColumn id="13" xr3:uid="{2C67472E-114A-4EA2-9B61-5F0D344BE3FD}" name="Page end" dataDxfId="112"/>
    <tableColumn id="14" xr3:uid="{F635EA49-044B-4B98-9E94-50673C701E3A}" name="Page count" dataDxfId="111"/>
    <tableColumn id="15" xr3:uid="{EFB42EB6-3C7A-4724-A1B1-512965C63492}" name="DOI" dataDxfId="110"/>
    <tableColumn id="16" xr3:uid="{E3ADC01E-B074-4A53-80EF-EC9200EE64FA}" name="Link" dataDxfId="109"/>
    <tableColumn id="28" xr3:uid="{D4000345-F8D0-2449-80B8-12F0FC458A69}" name="Document Type" dataDxfId="108"/>
    <tableColumn id="29" xr3:uid="{6FC072A0-3FDD-5247-A9B3-8E235A463377}" name="Source" dataDxfId="107"/>
    <tableColumn id="30" xr3:uid="{58E02C03-C0F6-A549-9757-F564A98ADDE0}" name="Review duplicate" dataDxfId="106"/>
    <tableColumn id="31" xr3:uid="{4103BCD3-CCFF-EF49-800E-5BCD61C56AC5}" name="Review EC1" dataDxfId="105"/>
    <tableColumn id="32" xr3:uid="{4DBE0ECD-D431-F748-BA1F-1F19C3B0ED58}" name="Review EC2" dataDxfId="104"/>
    <tableColumn id="33" xr3:uid="{EB52C5C2-8136-F84D-A3CF-B580A6C507A3}" name="Review EC3" dataDxfId="103"/>
    <tableColumn id="34" xr3:uid="{89D5F0D2-183E-8A44-91B3-5EB0DABDEAC9}" name="Review EC4" dataDxfId="102"/>
    <tableColumn id="21" xr3:uid="{F22FECA5-9C0D-9A46-A0B9-72CE36E52BDC}" name="Review EC5" dataDxfId="101"/>
    <tableColumn id="22" xr3:uid="{272F7F7E-051A-C649-B8C8-CC4EBBEF9204}" name="Review EC6: Title" dataDxfId="100"/>
    <tableColumn id="23" xr3:uid="{33C0C520-9E2C-BC47-A116-7814D6123526}" name="Review EC6: Abstract" dataDxfId="99"/>
    <tableColumn id="24" xr3:uid="{E9720B85-C5DA-4246-8DF6-09A9A7E35C11}" name="Review EC6: full text" dataDxfId="98"/>
    <tableColumn id="25" xr3:uid="{9BE347D1-B181-254C-9F62-D8BF714FCC8B}" name="Snowballing" dataDxfId="9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60B2405-2091-7B48-8B77-84D08664DFF9}" name="Tabelle6" displayName="Tabelle6" ref="A1:S27" totalsRowShown="0" headerRowDxfId="96" dataDxfId="94" headerRowBorderDxfId="95" tableBorderDxfId="93" totalsRowBorderDxfId="92">
  <autoFilter ref="A1:S27" xr:uid="{560B2405-2091-7B48-8B77-84D08664DFF9}"/>
  <tableColumns count="19">
    <tableColumn id="1" xr3:uid="{4D7BF7A9-0696-B147-8B3C-5B6B2BA2E1BD}" name="ID" dataDxfId="91"/>
    <tableColumn id="2" xr3:uid="{3CFE0C21-13A4-0F44-849F-13065E1693DA}" name="Authors" dataDxfId="90"/>
    <tableColumn id="3" xr3:uid="{18C44510-8D02-E746-811A-3F226CFFA0A0}" name="Author full names" dataDxfId="89"/>
    <tableColumn id="4" xr3:uid="{6673A0BF-7B12-0940-8152-2A6199332A89}" name="Author(s) ID" dataDxfId="88"/>
    <tableColumn id="5" xr3:uid="{68E800E0-86D7-8149-89BC-FE1B5A325655}" name="Title" dataDxfId="87"/>
    <tableColumn id="6" xr3:uid="{AEF3EAD2-1C4A-CC4A-BEB8-B10B2820A158}" name="Abstract" dataDxfId="86"/>
    <tableColumn id="7" xr3:uid="{27FD569B-BE74-0C41-889C-6A9A38BBFCEC}" name="Year" dataDxfId="85"/>
    <tableColumn id="8" xr3:uid="{CCD9F928-B1E2-2048-83E7-BA8C373A46B0}" name="Source title" dataDxfId="84"/>
    <tableColumn id="9" xr3:uid="{5581AB74-56DE-CA4D-96FD-1D6F4F869757}" name="Volume" dataDxfId="83"/>
    <tableColumn id="10" xr3:uid="{2943A02A-4D4A-F14B-A52B-1A21142FE45D}" name="Issue" dataDxfId="82"/>
    <tableColumn id="11" xr3:uid="{16B0AC04-8E0D-2E47-8CDB-2F553E3D8D6C}" name="Art. No." dataDxfId="81"/>
    <tableColumn id="12" xr3:uid="{D4C25788-29BD-9D45-AED3-D3ED5DA4986D}" name="Page start" dataDxfId="80"/>
    <tableColumn id="13" xr3:uid="{3B51E18A-83E3-124E-A761-5AEEA24DB837}" name="Page end" dataDxfId="79"/>
    <tableColumn id="14" xr3:uid="{5154F647-B7E4-7F47-A2C3-132124FEBF21}" name="Page count" dataDxfId="78"/>
    <tableColumn id="15" xr3:uid="{43D8BDCB-B182-C04B-83D0-907A1B45DA97}" name="DOI" dataDxfId="77"/>
    <tableColumn id="16" xr3:uid="{CBF92011-9FB1-C24F-9C27-9BDBA7236199}" name="Link" dataDxfId="76"/>
    <tableColumn id="17" xr3:uid="{809DB978-7872-154F-9516-68AAFE85086B}" name="Document Type" dataDxfId="75"/>
    <tableColumn id="18" xr3:uid="{42E16993-D2DC-F04D-AE26-287CA8513E05}" name="Source" dataDxfId="74"/>
    <tableColumn id="28" xr3:uid="{E479AF04-0151-2F49-8B9F-093DB076508D}" name="Snowballing" dataDxfId="7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450B95D-E61F-CF40-99F1-462B61D37F6A}" name="Tabelle7" displayName="Tabelle7" ref="A1:M27" totalsRowShown="0" headerRowDxfId="72" dataDxfId="71" tableBorderDxfId="70">
  <autoFilter ref="A1:M27" xr:uid="{C450B95D-E61F-CF40-99F1-462B61D37F6A}"/>
  <sortState xmlns:xlrd2="http://schemas.microsoft.com/office/spreadsheetml/2017/richdata2" ref="A2:M27">
    <sortCondition ref="K1:K27"/>
  </sortState>
  <tableColumns count="13">
    <tableColumn id="1" xr3:uid="{E1A01126-A526-DF43-A436-7423CF0E5ECB}" name="ID" dataDxfId="69"/>
    <tableColumn id="2" xr3:uid="{EFD3B4EF-42F9-EE44-B46B-9E47A5410F7F}" name="Authors" dataDxfId="68"/>
    <tableColumn id="5" xr3:uid="{324B8F16-0DB9-404F-9715-0DD87820058D}" name="QA1: Research Objectives and Questions" dataDxfId="67"/>
    <tableColumn id="6" xr3:uid="{F75405FE-3D3D-EF4D-B8D3-BEDB9EB68458}" name="QA2: Study Scope and Constraints" dataDxfId="66"/>
    <tableColumn id="7" xr3:uid="{2727014C-D86D-EF4F-8C31-9AB190580464}" name="QA3: Study Design and Methodology" dataDxfId="65"/>
    <tableColumn id="8" xr3:uid="{663A204D-53B9-E54B-A989-C0890B17D1BD}" name="QA4: Replication package" dataDxfId="64"/>
    <tableColumn id="9" xr3:uid="{9281D6AB-1D6E-0548-AF70-D9FF7481A514}" name="QA5: Results presentation" dataDxfId="63"/>
    <tableColumn id="10" xr3:uid="{89AC1EAC-6B84-FF4F-99E5-6C9B63F4285E}" name="QA6: Threats to Validity" dataDxfId="62"/>
    <tableColumn id="11" xr3:uid="{8C9A7A19-B179-7B47-A940-A7F9E6266BF8}" name="overall reached points" dataDxfId="61">
      <calculatedColumnFormula>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calculatedColumnFormula>
    </tableColumn>
    <tableColumn id="12" xr3:uid="{CE8D1452-3CE8-FF4E-8546-69B0B0876202}" name="overall possible points" dataDxfId="60">
      <calculatedColumnFormula>2*4 + IF(Tabelle7[[#This Row],[QA4: Replication package]] &lt;&gt; "NA", 2, 0) + IF(Tabelle7[[#This Row],[QA5: Results presentation]] &lt;&gt; "NA", 2, 0)</calculatedColumnFormula>
    </tableColumn>
    <tableColumn id="13" xr3:uid="{A4D11AC1-208D-9F4D-886A-E420210A94E3}" name="score in percent" dataDxfId="59">
      <calculatedColumnFormula>Tabelle7[[#This Row],[overall reached points]]/Tabelle7[[#This Row],[overall possible points]]</calculatedColumnFormula>
    </tableColumn>
    <tableColumn id="14" xr3:uid="{525AA873-B8F5-7841-A163-97333CAF04BF}" name="QA Evaluation of quality" dataDxfId="58"/>
    <tableColumn id="15" xr3:uid="{0C74FF85-13C4-F94B-84AF-C4C2B99A6237}" name="Snowballing" dataDxfId="5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A6C99D2-FDD6-474A-9EA8-FD91E080AD76}" name="Tabelle9" displayName="Tabelle9" ref="A1:R27" totalsRowShown="0" headerRowDxfId="56" dataDxfId="54" headerRowBorderDxfId="55" tableBorderDxfId="53" totalsRowBorderDxfId="52">
  <autoFilter ref="A1:R27" xr:uid="{BA6C99D2-FDD6-474A-9EA8-FD91E080AD76}"/>
  <sortState xmlns:xlrd2="http://schemas.microsoft.com/office/spreadsheetml/2017/richdata2" ref="A2:R27">
    <sortCondition ref="Q1:Q27"/>
  </sortState>
  <tableColumns count="18">
    <tableColumn id="1" xr3:uid="{C7872741-50E4-1549-A1F7-DA37FB22244C}" name="ID" dataDxfId="51"/>
    <tableColumn id="2" xr3:uid="{4BD38E80-D21D-EA4F-864C-11AB46DE36CA}" name="Authors" dataDxfId="50"/>
    <tableColumn id="3" xr3:uid="{74A00FBE-DDC9-3C45-B118-DCCD06B4DC74}" name="Title" dataDxfId="49"/>
    <tableColumn id="4" xr3:uid="{E896B6D8-DA32-E34C-B604-32D34BD2F268}" name="Abstract" dataDxfId="48"/>
    <tableColumn id="5" xr3:uid="{D09FA626-F2E1-4043-8EE8-B5309127E5F0}" name="Year" dataDxfId="47"/>
    <tableColumn id="6" xr3:uid="{B973F19B-D0CB-A24D-9145-78E50AE288EB}" name="Source title" dataDxfId="46"/>
    <tableColumn id="7" xr3:uid="{ECD70807-1115-3747-951B-A3D6F0A44677}" name="Volume" dataDxfId="45"/>
    <tableColumn id="8" xr3:uid="{66D5336E-053E-7C49-82B4-F198A4ADF6DE}" name="Issue" dataDxfId="44"/>
    <tableColumn id="9" xr3:uid="{84742394-7606-0344-869B-14B08BC6310D}" name="Art. No." dataDxfId="43"/>
    <tableColumn id="10" xr3:uid="{8514BAAE-67D6-214B-994F-8297054512E1}" name="Page start" dataDxfId="42"/>
    <tableColumn id="11" xr3:uid="{491A5468-CAF7-594A-AA8D-ADF797DDB007}" name="Page end" dataDxfId="41"/>
    <tableColumn id="12" xr3:uid="{2DD79834-0270-5845-B89D-9F5E5C8DCCD4}" name="Page count" dataDxfId="40"/>
    <tableColumn id="13" xr3:uid="{C088D55D-B3DA-E44F-82EE-F1ABAD5F5FFA}" name="DOI" dataDxfId="39"/>
    <tableColumn id="14" xr3:uid="{31335132-9DFF-9F41-9354-B7064AAF7352}" name="Link" dataDxfId="38"/>
    <tableColumn id="15" xr3:uid="{B6F575D8-1871-B744-B2D7-DFD0C6822B7E}" name="Document Type" dataDxfId="37"/>
    <tableColumn id="16" xr3:uid="{7CF2E671-51A1-5A4B-B1EE-1F2329626C3D}" name="Source" dataDxfId="36"/>
    <tableColumn id="17" xr3:uid="{CFDE7DE5-13A7-EC40-A1C8-26BF3FA1A944}" name="Descr-Demo: Type" dataDxfId="35"/>
    <tableColumn id="18" xr3:uid="{F032F0DB-7F0E-F844-B4B7-8796C594E83C}" name="Descr-Demo: Context" dataDxfId="3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1EFCA1A-946E-44EA-B304-2682233AEEC6}" name="Table59" displayName="Table59" ref="A1:AG71" totalsRowShown="0" headerRowDxfId="33" tableBorderDxfId="32">
  <autoFilter ref="A1:AG71" xr:uid="{DBBCBD38-1EEA-49E9-8DE3-2BF4BD2BEBC1}">
    <filterColumn colId="17">
      <filters>
        <filter val="include"/>
      </filters>
    </filterColumn>
  </autoFilter>
  <sortState xmlns:xlrd2="http://schemas.microsoft.com/office/spreadsheetml/2017/richdata2" ref="A2:AG56">
    <sortCondition ref="A1:A56"/>
  </sortState>
  <tableColumns count="33">
    <tableColumn id="1" xr3:uid="{201D5A3F-4662-4185-82C1-5532E76289B3}" name="ID" dataDxfId="31"/>
    <tableColumn id="2" xr3:uid="{4AFACA98-8F47-484B-8823-A747D2904D6E}" name="Authors" dataDxfId="30"/>
    <tableColumn id="3" xr3:uid="{44C9B220-3A0C-42E1-9A3A-9CC0A5FDBA2A}" name="Title" dataDxfId="29"/>
    <tableColumn id="4" xr3:uid="{ACDB1552-0088-4233-9091-5C3628712A05}" name="Abstract" dataDxfId="28"/>
    <tableColumn id="5" xr3:uid="{EFB95833-F6E1-4D4C-91D7-D4B063B3B0BC}" name="Year" dataDxfId="27"/>
    <tableColumn id="6" xr3:uid="{35B9269C-9632-4B75-8B7E-BB8943CFA6F3}" name="Source title" dataDxfId="26"/>
    <tableColumn id="7" xr3:uid="{3040FF1C-AEE5-415F-AC22-8C20C1958587}" name="Volume" dataDxfId="25"/>
    <tableColumn id="8" xr3:uid="{C8DC3E9C-C824-468B-B812-92B794503131}" name="Issue" dataDxfId="24"/>
    <tableColumn id="9" xr3:uid="{8B372F30-9547-4CB4-AC7A-BB9719C973E8}" name="Art. No." dataDxfId="23"/>
    <tableColumn id="10" xr3:uid="{92364170-4A6F-451B-A7E3-AB454193740E}" name="Page start" dataDxfId="22"/>
    <tableColumn id="11" xr3:uid="{3C7E7AE5-79E1-4CDA-8252-FD09604D54E5}" name="Page end" dataDxfId="21"/>
    <tableColumn id="12" xr3:uid="{3C784EBA-301C-4CC3-803B-D8DE648D0636}" name="Page count" dataDxfId="20"/>
    <tableColumn id="13" xr3:uid="{2E6EF8BF-6339-4B35-9398-DCB542CA947B}" name="DOI" dataDxfId="19"/>
    <tableColumn id="14" xr3:uid="{D55AF62D-6CBA-4DDB-AB07-5D9A67DD956F}" name="Link" dataDxfId="18"/>
    <tableColumn id="15" xr3:uid="{5F73BA62-F5E2-4D28-8FC4-3BCE756F50B6}" name="Document Type" dataDxfId="17"/>
    <tableColumn id="16" xr3:uid="{67FFC824-9890-4FD4-996E-2E022AAAC697}" name="Source" dataDxfId="16"/>
    <tableColumn id="31" xr3:uid="{D6D33C8B-1461-4D65-951A-8CDD3015C473}" name="Reviewer EC6: full text" dataDxfId="15"/>
    <tableColumn id="32" xr3:uid="{8D0DC1AE-ACDD-493C-A5E2-5971EB315933}" name="Review EC6: full text" dataDxfId="14"/>
    <tableColumn id="20" xr3:uid="{10F44157-51C8-4DE8-A1AD-9D63DB5FD798}" name="Reviewer Study Results" dataDxfId="13"/>
    <tableColumn id="21" xr3:uid="{57A8A0D6-EE61-47BD-9D79-9FBDF33742D0}" name="Listed quality aspects and their definitions"/>
    <tableColumn id="22" xr3:uid="{507D64C4-358F-4F97-B7ED-4ED8F7100CAA}" name="Source of derivation of the quality aspects"/>
    <tableColumn id="23" xr3:uid="{F55866EB-B371-455F-A985-5B0B85C410B2}" name="Purpose of quality aspects"/>
    <tableColumn id="24" xr3:uid="{9FA18A8A-8B5C-4427-AE58-BBAAD879748A}" name="Phase of evaluation of quality aspects"/>
    <tableColumn id="28" xr3:uid="{3EA75CCC-4F50-4388-A305-78166C24C5F5}" name="Metrics of evaluation of quality aspects"/>
    <tableColumn id="29" xr3:uid="{A465F7AB-F84D-462E-86D9-B54435DFEAF3}" name="Datasets used"/>
    <tableColumn id="30" xr3:uid="{044EBAB8-AA5F-4308-B876-EE3AFF46F512}" name="Size and structure of dataset"/>
    <tableColumn id="33" xr3:uid="{12EBCB17-BAEC-464D-AF0F-7A1E0E4C229C}" name="Type of the dataset"/>
    <tableColumn id="34" xr3:uid="{2DE90FCB-3427-4E36-818D-7C1A8FC37B59}" name="Is the data labeled?"/>
    <tableColumn id="35" xr3:uid="{73A24D84-17DD-443D-B1A0-DE81DF733AF7}" name="DL / NLP methods used"/>
    <tableColumn id="36" xr3:uid="{636F9331-3590-4088-8ABD-8EE1FE24B4A9}" name="Method's evaluation approach and metrics"/>
    <tableColumn id="19" xr3:uid="{9321624B-2E99-4A67-9966-EEC915CC7EAA}" name="Method evaluation results" dataDxfId="12"/>
    <tableColumn id="18" xr3:uid="{FA6732FC-1737-446E-AD68-07D4D904D0DE}" name="Tool Support" dataDxfId="11"/>
    <tableColumn id="17" xr3:uid="{B0DFCB6B-7A99-4E92-A0D8-1A1D0B126693}" name="Tool Name [Link]" dataDxfId="1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FB76AF-6E4D-474D-B2EF-30848870EFCA}" name="qualitätsaspekte_verdichtet4" displayName="qualitätsaspekte_verdichtet4" ref="A1:H20" tableType="queryTable" totalsRowShown="0" headerRowDxfId="9" dataDxfId="8">
  <autoFilter ref="A1:H20" xr:uid="{1249BFCC-CE17-46AF-89E5-ECAB05667997}"/>
  <sortState xmlns:xlrd2="http://schemas.microsoft.com/office/spreadsheetml/2017/richdata2" ref="A2:H20">
    <sortCondition descending="1" ref="C1:C20"/>
  </sortState>
  <tableColumns count="8">
    <tableColumn id="1" xr3:uid="{6404112F-5B3D-6A4D-A37F-F5554E6DB793}" uniqueName="1" name="Aspekt" queryTableFieldId="1" dataDxfId="7"/>
    <tableColumn id="2" xr3:uid="{125A79C1-8F0D-1F45-BEAD-43030401A650}" uniqueName="2" name="Synonyme/Varianten (Anzahl)" queryTableFieldId="2" dataDxfId="6"/>
    <tableColumn id="3" xr3:uid="{2C4A6461-B032-6C4C-A142-E2045CB432E6}" uniqueName="3" name="Gesamt" queryTableFieldId="3" dataDxfId="5"/>
    <tableColumn id="4" xr3:uid="{DECD5F85-8086-4449-80EA-3099A21720A1}" uniqueName="4" name="Column1" queryTableFieldId="4" dataDxfId="4"/>
    <tableColumn id="5" xr3:uid="{80E42A52-8FE2-0C4C-B85A-E57953888B76}" uniqueName="5" name="Definition / Quelle(n)" queryTableFieldId="5" dataDxfId="3"/>
    <tableColumn id="6" xr3:uid="{2AB14CE2-154C-4543-BB74-802A80FA3559}" uniqueName="6" name="References" queryTableFieldId="6" dataDxfId="2"/>
    <tableColumn id="7" xr3:uid="{6DD84323-95BA-CE44-998E-190995A575F4}" uniqueName="7" name="Purpose" queryTableFieldId="7" dataDxfId="1"/>
    <tableColumn id="8" xr3:uid="{2B233187-4A8D-6C45-AE03-8C15A603EB82}" uniqueName="8" name="Phase"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R5" dT="2025-03-04T15:31:11.49" personId="{9761082B-1E0E-40E8-8B3B-F3144BF392D4}" id="{38269D41-3670-494D-972F-BA7B43AAD603}">
    <text>@Wolf, Elise das Paper ist eher exclude da es Anforderungen bzgl. qualitäts-aspekten die, die adressieren labelt.</text>
    <mentions>
      <mention mentionpersonId="{E3FDF6E9-1789-49C5-9964-E61CAC3E7DCF}" mentionId="{AD8DF49D-C6F9-4DC4-8F91-249C406266FA}" startIndex="0" length="12"/>
    </mentions>
  </threadedComment>
  <threadedComment ref="T5" dT="2025-02-21T15:27:55.22" personId="{9761082B-1E0E-40E8-8B3B-F3144BF392D4}" id="{8F3ABC83-CEAE-4FD4-B7F8-ED92B743CBB8}">
    <text>@Wolf, Elise das sind aber Typen von Requirements (z.B. Anforderung an Software Performanz), nicht Qualitätsattributen von Requirements (z.B. wie im INVEST definiert).</text>
    <mentions>
      <mention mentionpersonId="{E3FDF6E9-1789-49C5-9964-E61CAC3E7DCF}" mentionId="{86B7D094-1AD8-4970-B0C5-73569A44B808}" startIndex="0" length="12"/>
    </mentions>
  </threadedComment>
  <threadedComment ref="X5" dT="2025-02-24T12:00:22.54" personId="{9761082B-1E0E-40E8-8B3B-F3144BF392D4}" id="{AEBE49BE-28B3-4AB0-85BE-871869997F16}">
    <text>@Wolf, Elise Das sind wahrscheinlich die Metriken um Modelle ze evaluieren. Aber in der Spalte geht es um Metriken um Qualitätsaspekte aus dem Model zu quantifizieren.</text>
    <mentions>
      <mention mentionpersonId="{E3FDF6E9-1789-49C5-9964-E61CAC3E7DCF}" mentionId="{FF8EE843-AD30-4CC2-8194-E49E01576747}" startIndex="0" length="12"/>
    </mentions>
  </threadedComment>
  <threadedComment ref="X5" dT="2025-03-09T11:32:27.01" personId="{A8FD032A-4F01-4FA6-A895-E204241ADEA3}" id="{961C3B9F-FE7E-40E1-AEBB-4985F606414A}" parentId="{AEBE49BE-28B3-4AB0-85BE-871869997F16}">
    <text>Jedes Modell ist ein CNN bei denen. So besser?</text>
  </threadedComment>
  <threadedComment ref="R6" dT="2025-02-21T15:29:38.07" personId="{9761082B-1E0E-40E8-8B3B-F3144BF392D4}" id="{72363EF6-4DB9-434D-B48F-E25C04524F90}">
    <text>@Wolf, Elise diese Paper scheint die Anforderungen nach ihren Typ zu klassifizieren, nicht deren Qualität zu bewerten - damit würde es ausfallen.</text>
    <mentions>
      <mention mentionpersonId="{E3FDF6E9-1789-49C5-9964-E61CAC3E7DCF}" mentionId="{38C0D2FC-9C56-467A-BD61-08A76348125F}" startIndex="0" length="12"/>
    </mentions>
  </threadedComment>
  <threadedComment ref="R18" dT="2025-03-04T16:06:54.47" personId="{9761082B-1E0E-40E8-8B3B-F3144BF392D4}" id="{A85A822C-C611-4490-8D0A-269FB657F10C}">
    <text>@Wolf, Elise zwar das Paper beschäftigt sich mit Einfluss von Anforderungen auf Projekt Budget und Änderungen and die Autoren berücksichtigen Typ von Requirements (z.B. FR, NFR, SW, HW) aber nicht derer Qualität. Deswegen eher “exclude”</text>
    <mentions>
      <mention mentionpersonId="{E3FDF6E9-1789-49C5-9964-E61CAC3E7DCF}" mentionId="{CDC6F46D-68BE-41AC-8645-28A19B090AA3}" startIndex="0" length="12"/>
    </mentions>
  </threadedComment>
  <threadedComment ref="R26" dT="2025-03-05T07:43:47.78" personId="{9761082B-1E0E-40E8-8B3B-F3144BF392D4}" id="{B2F5E8CF-CA72-484C-A3F7-42492AE53F87}" done="1">
    <text>@Siebert, Julien Das Paper schein nicht wirklich sich mit Qualität der Anforderungen zu beschäftigen. Bitte prüfe ob das tatsächlich “include” ist.</text>
    <mentions>
      <mention mentionpersonId="{FE6387FE-7F1A-4F51-9102-EC0D6888ADF2}" mentionId="{8A31D3A2-9F61-41F9-9A15-2ED8D9DF8255}" startIndex="0" length="16"/>
    </mentions>
  </threadedComment>
  <threadedComment ref="R26" dT="2025-03-05T08:55:32.56" personId="{A0A07654-37B3-45BA-AC41-22CD8EB03D46}" id="{AD4447D0-EB3E-4D60-AF52-BE7CF28ECEBB}" parentId="{B2F5E8CF-CA72-484C-A3F7-42492AE53F87}">
    <text>Du hast recht</text>
  </threadedComment>
  <threadedComment ref="R27" dT="2025-03-05T07:13:38.01" personId="{9761082B-1E0E-40E8-8B3B-F3144BF392D4}" id="{CAF128F9-0F23-4890-B848-0E19126F495E}" done="1">
    <text>@Siebert, Julien Das Paper beschäftigt sich mit Klassifizierung der User Stories, genauer gesagt Labeling US nach dem welche SW-Qualitätsaspekt die adressieren. Es ist nicht über Qualität der US. --&gt; Exclude</text>
    <mentions>
      <mention mentionpersonId="{FE6387FE-7F1A-4F51-9102-EC0D6888ADF2}" mentionId="{12F96F06-C632-445E-BB15-87E9A27C0A54}" startIndex="0" length="16"/>
    </mentions>
  </threadedComment>
  <threadedComment ref="R28" dT="2025-03-05T07:55:20.76" personId="{9761082B-1E0E-40E8-8B3B-F3144BF392D4}" id="{92ECB32C-9CC0-4A6E-A946-F4A0650FFC13}" done="1">
    <text>@Siebert, Julien Das Paper schein sich mit Klassifikation der nichtfunktionalen Anforderungen zu beschäftigen - nicht mit derer Qualitätsbewertung --&gt; bitte prüfe ob das tatsächlich “include” ist</text>
    <mentions>
      <mention mentionpersonId="{FE6387FE-7F1A-4F51-9102-EC0D6888ADF2}" mentionId="{0C973613-1AB5-44E3-9C06-E1A92AAF8154}" startIndex="0" length="16"/>
    </mentions>
  </threadedComment>
  <threadedComment ref="R28" dT="2025-03-05T08:57:00.05" personId="{A0A07654-37B3-45BA-AC41-22CD8EB03D46}" id="{1FEE196A-147E-4441-9853-84BE8608B71C}" parentId="{92ECB32C-9CC0-4A6E-A946-F4A0650FFC13}">
    <text>OK</text>
  </threadedComment>
  <threadedComment ref="R32" dT="2025-03-05T08:18:26.55" personId="{9761082B-1E0E-40E8-8B3B-F3144BF392D4}" id="{758CF9DC-CDD9-4DEF-B665-8339AC13D91C}" done="1">
    <text>@Siebert, Julien Das Paper ist eher über Qualität des Interviews zum Erfassen der Anforderungen als über Qualität der Anforderungen selbst. Für mich wäre das “exclude”</text>
    <mentions>
      <mention mentionpersonId="{FE6387FE-7F1A-4F51-9102-EC0D6888ADF2}" mentionId="{C1979698-9A01-41BC-9DDA-0A0DC617EE08}" startIndex="0" length="16"/>
    </mentions>
  </threadedComment>
  <threadedComment ref="R34" dT="2025-03-05T08:39:12.90" personId="{9761082B-1E0E-40E8-8B3B-F3144BF392D4}" id="{8072C9C2-CF39-42AD-B428-C74E7CAB9932}" done="1">
    <text>@Siebert, Julien Das Paper scheint “exclude” zu sein: “we investigate suitable NLP methods to automate the process of creating requirement models from the requirements and design specification.”</text>
    <mentions>
      <mention mentionpersonId="{FE6387FE-7F1A-4F51-9102-EC0D6888ADF2}" mentionId="{E7102191-6D28-4893-BDBC-769E1AC7714C}" startIndex="0" length="16"/>
    </mentions>
  </threadedComment>
  <threadedComment ref="X37" dT="2025-03-05T12:48:11.35" personId="{9761082B-1E0E-40E8-8B3B-F3144BF392D4}" id="{49E62CAF-B617-4905-8C05-C719C3BE4C1B}">
    <text>@Siebert, Julien hier wäre eher wie Ambiguity genmessen wurde. F1 usw. beziehen sie wahrscheinlich an die Evaluation des Ansatzes.</text>
    <mentions>
      <mention mentionpersonId="{FE6387FE-7F1A-4F51-9102-EC0D6888ADF2}" mentionId="{A90DBE57-ABC4-49F7-81CC-B0749D88D61F}" startIndex="0" length="16"/>
    </mentions>
  </threadedComment>
</ThreadedComments>
</file>

<file path=xl/worksheets/_rels/sheet3.xml.rels><?xml version="1.0" encoding="UTF-8" standalone="yes"?>
<Relationships xmlns="http://schemas.openxmlformats.org/package/2006/relationships"><Relationship Id="rId8" Type="http://schemas.openxmlformats.org/officeDocument/2006/relationships/hyperlink" Target="https://www.scopus.com/inward/record.uri?eid=2-s2.0-85215224310&amp;doi=10.1109%2fACCESS.2025.3529943&amp;partnerID=40&amp;md5=e8aa54284b92be37243559c0a3798df0" TargetMode="External"/><Relationship Id="rId13" Type="http://schemas.openxmlformats.org/officeDocument/2006/relationships/hyperlink" Target="https://www.scopus.com/inward/record.uri?eid=2-s2.0-85211963109&amp;doi=10.1007%2f978-3-031-78386-9_3&amp;partnerID=40&amp;md5=d9913ab79b7b798daa8d9ad45df54db7" TargetMode="External"/><Relationship Id="rId18" Type="http://schemas.openxmlformats.org/officeDocument/2006/relationships/hyperlink" Target="https://www.scopus.com/inward/record.uri?eid=2-s2.0-85199132614&amp;doi=10.1109%2fICECT61618.2024.10581306&amp;partnerID=40&amp;md5=1924eb1e682c56bdd8998fcce6cfdce6" TargetMode="External"/><Relationship Id="rId26" Type="http://schemas.openxmlformats.org/officeDocument/2006/relationships/hyperlink" Target="https://www.scopus.com/inward/record.uri?eid=2-s2.0-85204689412&amp;doi=10.1109%2fACCESS.2024.3464242&amp;partnerID=40&amp;md5=2904125aca501b1457d0a7469526b2e4" TargetMode="External"/><Relationship Id="rId3" Type="http://schemas.openxmlformats.org/officeDocument/2006/relationships/hyperlink" Target="https://www.scopus.com/inward/record.uri?eid=2-s2.0-85215821826&amp;doi=10.1109%2fIISA62523.2024.10786710&amp;partnerID=40&amp;md5=99c75f74907ca4f71f71f736ada74ad1" TargetMode="External"/><Relationship Id="rId21" Type="http://schemas.openxmlformats.org/officeDocument/2006/relationships/hyperlink" Target="https://www.scopus.com/inward/record.uri?eid=2-s2.0-85199061639&amp;doi=10.7717%2fpeerj-cs.2115&amp;partnerID=40&amp;md5=d777a1726fdf48b2584dc757b05f3d8c" TargetMode="External"/><Relationship Id="rId7" Type="http://schemas.openxmlformats.org/officeDocument/2006/relationships/hyperlink" Target="https://www.scopus.com/inward/record.uri?eid=2-s2.0-85202760476&amp;doi=10.1109%2fRE59067.2024.00057&amp;partnerID=40&amp;md5=9fefe3db695acae6bf676d65d0181ec1" TargetMode="External"/><Relationship Id="rId12" Type="http://schemas.openxmlformats.org/officeDocument/2006/relationships/hyperlink" Target="https://www.scopus.com/inward/record.uri?eid=2-s2.0-85206979358&amp;doi=10.1007%2fs11334-024-00589-8&amp;partnerID=40&amp;md5=0259e6ecf64e5189f755fef8116e787d" TargetMode="External"/><Relationship Id="rId17" Type="http://schemas.openxmlformats.org/officeDocument/2006/relationships/hyperlink" Target="https://www.scopus.com/inward/record.uri?eid=2-s2.0-85210855066&amp;doi=10.1115%2fDETC2024-139583&amp;partnerID=40&amp;md5=93a8e451b0214d53fe793cb80243c3ec" TargetMode="External"/><Relationship Id="rId25" Type="http://schemas.openxmlformats.org/officeDocument/2006/relationships/hyperlink" Target="https://www.scopus.com/inward/record.uri?eid=2-s2.0-85201106080&amp;doi=10.1155%2f2024%2f4955691&amp;partnerID=40&amp;md5=19406c7c2ac86c9be159d7b18afa3efe" TargetMode="External"/><Relationship Id="rId2" Type="http://schemas.openxmlformats.org/officeDocument/2006/relationships/hyperlink" Target="https://www.scopus.com/inward/record.uri?eid=2-s2.0-85137710197&amp;doi=10.6688%2fJISE.202203_38%282%29.0002&amp;partnerID=40&amp;md5=26709318dfef262ea4fae21a6623fdec" TargetMode="External"/><Relationship Id="rId16" Type="http://schemas.openxmlformats.org/officeDocument/2006/relationships/hyperlink" Target="https://www.scopus.com/inward/record.uri?eid=2-s2.0-85212198160&amp;doi=10.1145%2f3652620.3687800&amp;partnerID=40&amp;md5=5519811e803a2b34ca319ae7d30ba4db" TargetMode="External"/><Relationship Id="rId20" Type="http://schemas.openxmlformats.org/officeDocument/2006/relationships/hyperlink" Target="https://www.scopus.com/inward/record.uri?eid=2-s2.0-85202164270&amp;doi=10.1007%2fs10515-024-00468-3&amp;partnerID=40&amp;md5=f3b40da8bf10a6b96958bf00e073f9aa" TargetMode="External"/><Relationship Id="rId29" Type="http://schemas.openxmlformats.org/officeDocument/2006/relationships/table" Target="../tables/table1.xml"/><Relationship Id="rId1" Type="http://schemas.openxmlformats.org/officeDocument/2006/relationships/hyperlink" Target="https://www.scopus.com/inward/record.uri?eid=2-s2.0-85108113667&amp;doi=10.1145%2f3444689&amp;partnerID=40&amp;md5=62a3994ab75f9df0537e2de3e9c6905a" TargetMode="External"/><Relationship Id="rId6" Type="http://schemas.openxmlformats.org/officeDocument/2006/relationships/hyperlink" Target="https://www.scopus.com/inward/record.uri?eid=2-s2.0-85204488803&amp;doi=10.1109%2fCSEET62301.2024.10662994&amp;partnerID=40&amp;md5=1e60569c6f42920173cea8eae759eb91" TargetMode="External"/><Relationship Id="rId11" Type="http://schemas.openxmlformats.org/officeDocument/2006/relationships/hyperlink" Target="https://www.scopus.com/inward/record.uri?eid=2-s2.0-85194078808&amp;doi=10.1017%2fpds.2024.207&amp;partnerID=40&amp;md5=07d66edb9986459bb75b86598a6a92a2" TargetMode="External"/><Relationship Id="rId24" Type="http://schemas.openxmlformats.org/officeDocument/2006/relationships/hyperlink" Target="https://www.scopus.com/inward/record.uri?eid=2-s2.0-85204483525&amp;doi=10.1109%2fCSEET62301.2024.10663055&amp;partnerID=40&amp;md5=ad558bc760ab97cbb1f40a08a72877bc" TargetMode="External"/><Relationship Id="rId5" Type="http://schemas.openxmlformats.org/officeDocument/2006/relationships/hyperlink" Target="https://www.scopus.com/inward/record.uri?eid=2-s2.0-85211119965&amp;doi=10.1007%2fs10515-024-00477-2&amp;partnerID=40&amp;md5=2e90ff188de38cd38412eceacc5bc71f" TargetMode="External"/><Relationship Id="rId15" Type="http://schemas.openxmlformats.org/officeDocument/2006/relationships/hyperlink" Target="https://www.scopus.com/inward/record.uri?eid=2-s2.0-85216918757&amp;doi=10.1016%2fj.jss.2025.112357&amp;partnerID=40&amp;md5=ec2fb4db892d4191921de03ca54534e1" TargetMode="External"/><Relationship Id="rId23" Type="http://schemas.openxmlformats.org/officeDocument/2006/relationships/hyperlink" Target="https://www.scopus.com/inward/record.uri?eid=2-s2.0-85201565838&amp;doi=10.1109%2fRE59067.2024.00046&amp;partnerID=40&amp;md5=e305b4ac27f83a3d6a285d4fa62a1e05" TargetMode="External"/><Relationship Id="rId28" Type="http://schemas.openxmlformats.org/officeDocument/2006/relationships/hyperlink" Target="https://www.sciencedirect.com/org/science/article/pii/S2292949524000245" TargetMode="External"/><Relationship Id="rId10" Type="http://schemas.openxmlformats.org/officeDocument/2006/relationships/hyperlink" Target="https://www.scopus.com/inward/record.uri?eid=2-s2.0-85196531915&amp;doi=10.1007%2fs10515-024-00448-7&amp;partnerID=40&amp;md5=89a3749f146379ff321a3e64a896c71b" TargetMode="External"/><Relationship Id="rId19" Type="http://schemas.openxmlformats.org/officeDocument/2006/relationships/hyperlink" Target="https://www.scopus.com/inward/record.uri?eid=2-s2.0-85217364855&amp;doi=10.1007%2fs10270-024-01254-1&amp;partnerID=40&amp;md5=d74294c74f929c3217579c7eb76bf2ee" TargetMode="External"/><Relationship Id="rId4" Type="http://schemas.openxmlformats.org/officeDocument/2006/relationships/hyperlink" Target="https://www.scopus.com/inward/record.uri?eid=2-s2.0-85211913043&amp;doi=10.1007%2f978-3-031-78386-9_20&amp;partnerID=40&amp;md5=209db9aea14c5f3568e69302aeb3d845" TargetMode="External"/><Relationship Id="rId9" Type="http://schemas.openxmlformats.org/officeDocument/2006/relationships/hyperlink" Target="https://www.scopus.com/inward/record.uri?eid=2-s2.0-85197230809&amp;doi=10.1007%2f978-3-031-61154-4_8&amp;partnerID=40&amp;md5=71a1dd8761cd72e93fe001a88ab8ec9a" TargetMode="External"/><Relationship Id="rId14" Type="http://schemas.openxmlformats.org/officeDocument/2006/relationships/hyperlink" Target="https://www.scopus.com/inward/record.uri?eid=2-s2.0-85206798999&amp;doi=10.1109%2fAUTOTESTCON47465.2024.10697525&amp;partnerID=40&amp;md5=e68bd50d1761ee56cf5c218702db9763" TargetMode="External"/><Relationship Id="rId22" Type="http://schemas.openxmlformats.org/officeDocument/2006/relationships/hyperlink" Target="https://www.scopus.com/inward/record.uri?eid=2-s2.0-85217709897&amp;doi=10.1109%2fCASCON62161.2024.10837905&amp;partnerID=40&amp;md5=7c001495e491aaa631722b4d5d8f4402" TargetMode="External"/><Relationship Id="rId27" Type="http://schemas.openxmlformats.org/officeDocument/2006/relationships/hyperlink" Target="https://doi.org/10.2196/52885"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scopus.com/inward/record.uri?eid=2-s2.0-85201565838&amp;doi=10.1109%2fRE59067.2024.00046&amp;partnerID=40&amp;md5=e305b4ac27f83a3d6a285d4fa62a1e05" TargetMode="External"/><Relationship Id="rId3" Type="http://schemas.openxmlformats.org/officeDocument/2006/relationships/hyperlink" Target="https://www.scopus.com/inward/record.uri?eid=2-s2.0-85197230809&amp;doi=10.1007%2f978-3-031-61154-4_8&amp;partnerID=40&amp;md5=71a1dd8761cd72e93fe001a88ab8ec9a" TargetMode="External"/><Relationship Id="rId7" Type="http://schemas.openxmlformats.org/officeDocument/2006/relationships/hyperlink" Target="https://www.scopus.com/inward/record.uri?eid=2-s2.0-85217709897&amp;doi=10.1109%2fCASCON62161.2024.10837905&amp;partnerID=40&amp;md5=7c001495e491aaa631722b4d5d8f4402" TargetMode="External"/><Relationship Id="rId2" Type="http://schemas.openxmlformats.org/officeDocument/2006/relationships/hyperlink" Target="https://www.scopus.com/inward/record.uri?eid=2-s2.0-85215224310&amp;doi=10.1109%2fACCESS.2025.3529943&amp;partnerID=40&amp;md5=e8aa54284b92be37243559c0a3798df0" TargetMode="External"/><Relationship Id="rId1" Type="http://schemas.openxmlformats.org/officeDocument/2006/relationships/hyperlink" Target="https://www.scopus.com/inward/record.uri?eid=2-s2.0-85211913043&amp;doi=10.1007%2f978-3-031-78386-9_20&amp;partnerID=40&amp;md5=209db9aea14c5f3568e69302aeb3d845" TargetMode="External"/><Relationship Id="rId6" Type="http://schemas.openxmlformats.org/officeDocument/2006/relationships/hyperlink" Target="https://www.scopus.com/inward/record.uri?eid=2-s2.0-85211963109&amp;doi=10.1007%2f978-3-031-78386-9_3&amp;partnerID=40&amp;md5=d9913ab79b7b798daa8d9ad45df54db7" TargetMode="External"/><Relationship Id="rId5" Type="http://schemas.openxmlformats.org/officeDocument/2006/relationships/hyperlink" Target="https://www.scopus.com/inward/record.uri?eid=2-s2.0-85194078808&amp;doi=10.1017%2fpds.2024.207&amp;partnerID=40&amp;md5=07d66edb9986459bb75b86598a6a92a2" TargetMode="External"/><Relationship Id="rId10" Type="http://schemas.openxmlformats.org/officeDocument/2006/relationships/table" Target="../tables/table3.xml"/><Relationship Id="rId4" Type="http://schemas.openxmlformats.org/officeDocument/2006/relationships/hyperlink" Target="https://www.scopus.com/inward/record.uri?eid=2-s2.0-85196531915&amp;doi=10.1007%2fs10515-024-00448-7&amp;partnerID=40&amp;md5=89a3749f146379ff321a3e64a896c71b" TargetMode="External"/><Relationship Id="rId9" Type="http://schemas.openxmlformats.org/officeDocument/2006/relationships/hyperlink" Target="https://www.scopus.com/inward/record.uri?eid=2-s2.0-85204689412&amp;doi=10.1109%2fACCESS.2024.3464242&amp;partnerID=40&amp;md5=2904125aca501b1457d0a7469526b2e4"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8" Type="http://schemas.openxmlformats.org/officeDocument/2006/relationships/hyperlink" Target="https://www.scopus.com/inward/record.uri?eid=2-s2.0-85196531915&amp;doi=10.1007%2fs10515-024-00448-7&amp;partnerID=40&amp;md5=89a3749f146379ff321a3e64a896c71b" TargetMode="External"/><Relationship Id="rId13" Type="http://schemas.openxmlformats.org/officeDocument/2006/relationships/hyperlink" Target="https://www.scopus.com/inward/record.uri?eid=2-s2.0-85204689412&amp;doi=10.1109%2fACCESS.2024.3464242&amp;partnerID=40&amp;md5=2904125aca501b1457d0a7469526b2e4" TargetMode="External"/><Relationship Id="rId3" Type="http://schemas.openxmlformats.org/officeDocument/2006/relationships/hyperlink" Target="https://www.scopus.com/inward/record.uri?eid=2-s2.0-85184983547&amp;doi=10.1109%2fBigData59044.2023.10386192&amp;partnerID=40&amp;md5=80e760f280767b96a5e7e1ed03f57643" TargetMode="External"/><Relationship Id="rId7" Type="http://schemas.openxmlformats.org/officeDocument/2006/relationships/hyperlink" Target="https://www.scopus.com/inward/record.uri?eid=2-s2.0-85197230809&amp;doi=10.1007%2f978-3-031-61154-4_8&amp;partnerID=40&amp;md5=71a1dd8761cd72e93fe001a88ab8ec9a" TargetMode="External"/><Relationship Id="rId12" Type="http://schemas.openxmlformats.org/officeDocument/2006/relationships/hyperlink" Target="https://www.scopus.com/inward/record.uri?eid=2-s2.0-85201565838&amp;doi=10.1109%2fRE59067.2024.00046&amp;partnerID=40&amp;md5=e305b4ac27f83a3d6a285d4fa62a1e05" TargetMode="External"/><Relationship Id="rId2" Type="http://schemas.openxmlformats.org/officeDocument/2006/relationships/hyperlink" Target="https://www.scopus.com/inward/record.uri?eid=2-s2.0-85118447318&amp;doi=10.1109%2fREW53955.2021.00027&amp;partnerID=40&amp;md5=b6a1a97c3e002134847cd7b87e2e43c3" TargetMode="External"/><Relationship Id="rId1" Type="http://schemas.openxmlformats.org/officeDocument/2006/relationships/hyperlink" Target="https://www.scopus.com/inward/record.uri?eid=2-s2.0-85165504850&amp;doi=10.1017%2fpds.2023.71&amp;partnerID=40&amp;md5=6a127c472d33cf31031eb74da328f14a" TargetMode="External"/><Relationship Id="rId6" Type="http://schemas.openxmlformats.org/officeDocument/2006/relationships/hyperlink" Target="https://www.scopus.com/inward/record.uri?eid=2-s2.0-85215224310&amp;doi=10.1109%2fACCESS.2025.3529943&amp;partnerID=40&amp;md5=e8aa54284b92be37243559c0a3798df0" TargetMode="External"/><Relationship Id="rId11" Type="http://schemas.openxmlformats.org/officeDocument/2006/relationships/hyperlink" Target="https://www.scopus.com/inward/record.uri?eid=2-s2.0-85217709897&amp;doi=10.1109%2fCASCON62161.2024.10837905&amp;partnerID=40&amp;md5=7c001495e491aaa631722b4d5d8f4402" TargetMode="External"/><Relationship Id="rId5" Type="http://schemas.openxmlformats.org/officeDocument/2006/relationships/hyperlink" Target="https://www.scopus.com/inward/record.uri?eid=2-s2.0-85211913043&amp;doi=10.1007%2f978-3-031-78386-9_20&amp;partnerID=40&amp;md5=209db9aea14c5f3568e69302aeb3d845" TargetMode="External"/><Relationship Id="rId10" Type="http://schemas.openxmlformats.org/officeDocument/2006/relationships/hyperlink" Target="https://www.scopus.com/inward/record.uri?eid=2-s2.0-85211963109&amp;doi=10.1007%2f978-3-031-78386-9_3&amp;partnerID=40&amp;md5=d9913ab79b7b798daa8d9ad45df54db7" TargetMode="External"/><Relationship Id="rId4" Type="http://schemas.openxmlformats.org/officeDocument/2006/relationships/hyperlink" Target="https://www.scopus.com/inward/record.uri?eid=2-s2.0-85165224093&amp;doi=10.1016%2fj.scico.2023.102994&amp;partnerID=40&amp;md5=08b5f82d7e50d9aa5510a0b18bd4d3a1" TargetMode="External"/><Relationship Id="rId9" Type="http://schemas.openxmlformats.org/officeDocument/2006/relationships/hyperlink" Target="https://www.scopus.com/inward/record.uri?eid=2-s2.0-85194078808&amp;doi=10.1017%2fpds.2024.207&amp;partnerID=40&amp;md5=07d66edb9986459bb75b86598a6a92a2" TargetMode="External"/><Relationship Id="rId14"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8" Type="http://schemas.openxmlformats.org/officeDocument/2006/relationships/hyperlink" Target="https://www.scopus.com/inward/record.uri?eid=2-s2.0-85072819836&amp;doi=10.1007%2f978-3-030-29983-5_6&amp;partnerID=40&amp;md5=64c7d8d40c1e4d343f6e0039ff3d70f4" TargetMode="External"/><Relationship Id="rId13" Type="http://schemas.openxmlformats.org/officeDocument/2006/relationships/hyperlink" Target="https://www.scopus.com/inward/record.uri?eid=2-s2.0-85172431302&amp;doi=10.1109%2fREW57809.2023.00015&amp;partnerID=40&amp;md5=15427b726d1d8a96959cb813af87ccc5" TargetMode="External"/><Relationship Id="rId18" Type="http://schemas.openxmlformats.org/officeDocument/2006/relationships/hyperlink" Target="https://www.scopus.com/inward/record.uri?eid=2-s2.0-85184983547&amp;doi=10.1109%2fBigData59044.2023.10386192&amp;partnerID=40&amp;md5=80e760f280767b96a5e7e1ed03f57643" TargetMode="External"/><Relationship Id="rId26" Type="http://schemas.microsoft.com/office/2019/04/relationships/documenttask" Target="../documenttasks/documenttask1.xml"/><Relationship Id="rId3" Type="http://schemas.openxmlformats.org/officeDocument/2006/relationships/hyperlink" Target="https://www.scopus.com/inward/record.uri?eid=2-s2.0-85122571486&amp;doi=10.1007%2f978-3-030-93709-6_29&amp;partnerID=40&amp;md5=fb7b99fdb474bd00b4812cdc6f8efa15" TargetMode="External"/><Relationship Id="rId21" Type="http://schemas.openxmlformats.org/officeDocument/2006/relationships/printerSettings" Target="../printerSettings/printerSettings1.bin"/><Relationship Id="rId7" Type="http://schemas.openxmlformats.org/officeDocument/2006/relationships/hyperlink" Target="https://www.scopus.com/inward/record.uri?eid=2-s2.0-85100632778&amp;doi=10.1145%2f3443279.3443306&amp;partnerID=40&amp;md5=6128ee2ff33cd5a4b6dd185bd916bb4e" TargetMode="External"/><Relationship Id="rId12" Type="http://schemas.openxmlformats.org/officeDocument/2006/relationships/hyperlink" Target="https://www.scopus.com/inward/record.uri?eid=2-s2.0-85068049537&amp;partnerID=40&amp;md5=ebe401d150a132c9f61eb003bed3d0ec" TargetMode="External"/><Relationship Id="rId17" Type="http://schemas.openxmlformats.org/officeDocument/2006/relationships/hyperlink" Target="https://www.scopus.com/inward/record.uri?eid=2-s2.0-85118447318&amp;doi=10.1109%2fREW53955.2021.00027&amp;partnerID=40&amp;md5=b6a1a97c3e002134847cd7b87e2e43c3" TargetMode="External"/><Relationship Id="rId25" Type="http://schemas.microsoft.com/office/2017/10/relationships/threadedComment" Target="../threadedComments/threadedComment1.xml"/><Relationship Id="rId2" Type="http://schemas.openxmlformats.org/officeDocument/2006/relationships/hyperlink" Target="https://github.com/ScienceofComputerProgramming/SCICO-D-22-00269" TargetMode="External"/><Relationship Id="rId16" Type="http://schemas.openxmlformats.org/officeDocument/2006/relationships/hyperlink" Target="https://www.scopus.com/inward/record.uri?eid=2-s2.0-85161611132&amp;doi=10.1049%2fcit2.12237&amp;partnerID=40&amp;md5=4d4c6d0e05e68f09aa76050ef8304a98" TargetMode="External"/><Relationship Id="rId20" Type="http://schemas.openxmlformats.org/officeDocument/2006/relationships/hyperlink" Target="http://64.23.208.52/" TargetMode="External"/><Relationship Id="rId1" Type="http://schemas.openxmlformats.org/officeDocument/2006/relationships/hyperlink" Target="https://www.scopus.com/inward/record.uri?eid=2-s2.0-85137710197&amp;doi=10.6688%2fJISE.202203_38%282%29.0002&amp;partnerID=40&amp;md5=26709318dfef262ea4fae21a6623fdec" TargetMode="External"/><Relationship Id="rId6" Type="http://schemas.openxmlformats.org/officeDocument/2006/relationships/hyperlink" Target="https://www.scopus.com/inward/record.uri?eid=2-s2.0-85078479877&amp;doi=10.1007%2f978-3-030-35510-4_6&amp;partnerID=40&amp;md5=7b2e0f3fff33af183287893b6d01bf74" TargetMode="External"/><Relationship Id="rId11" Type="http://schemas.openxmlformats.org/officeDocument/2006/relationships/hyperlink" Target="https://www.scopus.com/inward/record.uri?eid=2-s2.0-85171987867&amp;doi=10.1109%2fCSCI58124.2022.00339&amp;partnerID=40&amp;md5=39b64b569b13fb278075183a62c9a43c" TargetMode="External"/><Relationship Id="rId24" Type="http://schemas.openxmlformats.org/officeDocument/2006/relationships/comments" Target="../comments1.xml"/><Relationship Id="rId5" Type="http://schemas.openxmlformats.org/officeDocument/2006/relationships/hyperlink" Target="https://www.scopus.com/inward/record.uri?eid=2-s2.0-85180630873&amp;doi=10.1007%2f978-3-031-46002-9_23&amp;partnerID=40&amp;md5=317aeedef81c776751800c5f7caa7a52" TargetMode="External"/><Relationship Id="rId15" Type="http://schemas.openxmlformats.org/officeDocument/2006/relationships/hyperlink" Target="https://www.scopus.com/inward/record.uri?eid=2-s2.0-85128715774&amp;partnerID=40&amp;md5=6e87b52c6b3aaa7186831eb9b0d81717" TargetMode="External"/><Relationship Id="rId23" Type="http://schemas.openxmlformats.org/officeDocument/2006/relationships/table" Target="../tables/table6.xml"/><Relationship Id="rId10" Type="http://schemas.openxmlformats.org/officeDocument/2006/relationships/hyperlink" Target="https://www.scopus.com/inward/record.uri?eid=2-s2.0-85165504850&amp;doi=10.1017%2fpds.2023.71&amp;partnerID=40&amp;md5=6a127c472d33cf31031eb74da328f14a" TargetMode="External"/><Relationship Id="rId19" Type="http://schemas.openxmlformats.org/officeDocument/2006/relationships/hyperlink" Target="https://github.com/MawalMohammed/GRL-Bad-Smell-Detection/blob/master/Deverlopers'%20Guide.md" TargetMode="External"/><Relationship Id="rId4" Type="http://schemas.openxmlformats.org/officeDocument/2006/relationships/hyperlink" Target="https://www.scopus.com/inward/record.uri?eid=2-s2.0-85180533300&amp;doi=10.1007%2f978-3-031-50327-6_15&amp;partnerID=40&amp;md5=4f05b0a5298e784e24a94fe31c60c229" TargetMode="External"/><Relationship Id="rId9" Type="http://schemas.openxmlformats.org/officeDocument/2006/relationships/hyperlink" Target="https://www.scopus.com/inward/record.uri?eid=2-s2.0-85182955108&amp;doi=10.1134%2fS0361768823080133&amp;partnerID=40&amp;md5=2ec9fcc5cd32ebcacb9035a2ded499cd" TargetMode="External"/><Relationship Id="rId14" Type="http://schemas.openxmlformats.org/officeDocument/2006/relationships/hyperlink" Target="https://www.scopus.com/inward/record.uri?eid=2-s2.0-85174388076&amp;doi=10.1109%2fRE57278.2023.00014&amp;partnerID=40&amp;md5=615033a8d304b6770ce1ee41afd689a3" TargetMode="External"/><Relationship Id="rId22"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www.se-rwth.de/publications/Neural-Language-Models-and-Few-Shot-Learning-for-Systematic-Requirements-Processing-in-MDSE.pdf" TargetMode="External"/><Relationship Id="rId1" Type="http://schemas.openxmlformats.org/officeDocument/2006/relationships/hyperlink" Target="https://aclanthology.org/P02-1040" TargetMode="External"/></Relationships>
</file>

<file path=xl/worksheets/_rels/sheet1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2.xml.rels><?xml version="1.0" encoding="UTF-8" standalone="yes"?>
<Relationships xmlns="http://schemas.openxmlformats.org/package/2006/relationships"><Relationship Id="rId3" Type="http://schemas.openxmlformats.org/officeDocument/2006/relationships/hyperlink" Target="https://doi.org/10.48550/arXiv.2006.15871" TargetMode="External"/><Relationship Id="rId2" Type="http://schemas.openxmlformats.org/officeDocument/2006/relationships/hyperlink" Target="https://doi.org/10.1007/s11334-013-0225-8" TargetMode="External"/><Relationship Id="rId1" Type="http://schemas.openxmlformats.org/officeDocument/2006/relationships/hyperlink" Target="https://doi.org/10.1109/RE.2017.29" TargetMode="External"/><Relationship Id="rId4" Type="http://schemas.openxmlformats.org/officeDocument/2006/relationships/hyperlink" Target="https://doi.org/10.1017/dsj.2018.10"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97C10-054D-45FF-995B-F3FAF078F411}">
  <sheetPr>
    <tabColor theme="5" tint="0.59999389629810485"/>
  </sheetPr>
  <dimension ref="A1:B2"/>
  <sheetViews>
    <sheetView tabSelected="1" workbookViewId="0">
      <selection activeCell="B15" sqref="B15"/>
    </sheetView>
  </sheetViews>
  <sheetFormatPr defaultColWidth="8.81640625" defaultRowHeight="14.5"/>
  <cols>
    <col min="1" max="1" width="24" style="138" customWidth="1"/>
    <col min="2" max="2" width="95.36328125" style="138" customWidth="1"/>
  </cols>
  <sheetData>
    <row r="1" spans="1:2" ht="58">
      <c r="A1" s="145" t="s">
        <v>3476</v>
      </c>
      <c r="B1" s="146" t="s">
        <v>3516</v>
      </c>
    </row>
    <row r="2" spans="1:2" ht="29">
      <c r="A2" s="145" t="s">
        <v>3477</v>
      </c>
      <c r="B2" s="146" t="s">
        <v>3518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2F768-7DA4-FD44-AC5E-1B0D0900B4B3}">
  <sheetPr codeName="Tabelle1">
    <tabColor theme="7" tint="-0.249977111117893"/>
  </sheetPr>
  <dimension ref="A1:B6"/>
  <sheetViews>
    <sheetView workbookViewId="0">
      <selection activeCell="B12" sqref="B12"/>
    </sheetView>
  </sheetViews>
  <sheetFormatPr defaultColWidth="10.81640625" defaultRowHeight="14.5"/>
  <cols>
    <col min="1" max="1" width="30.6328125" style="12" customWidth="1"/>
    <col min="2" max="2" width="80.6328125" style="12" customWidth="1"/>
  </cols>
  <sheetData>
    <row r="1" spans="1:2" ht="25" customHeight="1">
      <c r="A1" s="151" t="s">
        <v>3480</v>
      </c>
      <c r="B1" s="151"/>
    </row>
    <row r="2" spans="1:2">
      <c r="A2" s="138"/>
      <c r="B2" s="138"/>
    </row>
    <row r="3" spans="1:2">
      <c r="A3" s="144" t="s">
        <v>3475</v>
      </c>
      <c r="B3" s="144" t="s">
        <v>3474</v>
      </c>
    </row>
    <row r="4" spans="1:2" ht="29">
      <c r="A4" s="139" t="s">
        <v>3478</v>
      </c>
      <c r="B4" s="149" t="s">
        <v>3495</v>
      </c>
    </row>
    <row r="5" spans="1:2" ht="29">
      <c r="A5" s="139" t="s">
        <v>28</v>
      </c>
      <c r="B5" s="149" t="s">
        <v>3496</v>
      </c>
    </row>
    <row r="6" spans="1:2">
      <c r="A6" s="139" t="s">
        <v>3479</v>
      </c>
      <c r="B6" s="149" t="s">
        <v>3497</v>
      </c>
    </row>
  </sheetData>
  <mergeCells count="1">
    <mergeCell ref="A1:B1"/>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7ECA1-74B0-4500-A125-5715D6E8129C}">
  <sheetPr codeName="Tabelle2">
    <tabColor theme="7" tint="0.79998168889431442"/>
  </sheetPr>
  <dimension ref="A1:AA354"/>
  <sheetViews>
    <sheetView topLeftCell="O29" zoomScale="91" zoomScaleNormal="100" workbookViewId="0">
      <selection activeCell="A337" sqref="A337"/>
    </sheetView>
  </sheetViews>
  <sheetFormatPr defaultColWidth="9.1796875" defaultRowHeight="15" customHeight="1" outlineLevelCol="1"/>
  <cols>
    <col min="1" max="1" width="7.36328125" customWidth="1"/>
    <col min="2" max="2" width="36.36328125" customWidth="1" outlineLevel="1"/>
    <col min="3" max="3" width="86.1796875" customWidth="1" outlineLevel="1"/>
    <col min="4" max="4" width="63" customWidth="1" outlineLevel="1"/>
    <col min="5" max="5" width="50.1796875" customWidth="1" outlineLevel="1"/>
    <col min="6" max="6" width="193" customWidth="1" outlineLevel="1"/>
    <col min="7" max="7" width="7.1796875" customWidth="1" outlineLevel="1"/>
    <col min="8" max="8" width="77.1796875" customWidth="1" outlineLevel="1"/>
    <col min="9" max="9" width="19.1796875" customWidth="1" outlineLevel="1"/>
    <col min="10" max="10" width="15.81640625" customWidth="1" outlineLevel="1"/>
    <col min="11" max="11" width="9.6328125" customWidth="1" outlineLevel="1"/>
    <col min="12" max="12" width="12" customWidth="1" outlineLevel="1"/>
    <col min="13" max="13" width="11.1796875" customWidth="1" outlineLevel="1"/>
    <col min="14" max="14" width="13" customWidth="1" outlineLevel="1"/>
    <col min="15" max="15" width="37.453125" customWidth="1" outlineLevel="1"/>
    <col min="16" max="16" width="159.1796875" customWidth="1" outlineLevel="1"/>
    <col min="17" max="17" width="17" customWidth="1" outlineLevel="1"/>
    <col min="18" max="18" width="12.81640625" customWidth="1" outlineLevel="1"/>
    <col min="19" max="20" width="18.36328125" customWidth="1"/>
    <col min="21" max="24" width="13.453125" customWidth="1"/>
    <col min="25" max="25" width="19" customWidth="1"/>
    <col min="26" max="26" width="23" customWidth="1"/>
    <col min="27" max="27" width="22.81640625" customWidth="1"/>
    <col min="28" max="28" width="170.453125" customWidth="1"/>
  </cols>
  <sheetData>
    <row r="1" spans="1:27" ht="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27</v>
      </c>
    </row>
    <row r="2" spans="1:27" ht="14.5">
      <c r="A2">
        <v>1</v>
      </c>
      <c r="C2" t="s">
        <v>29</v>
      </c>
      <c r="D2" t="s">
        <v>29</v>
      </c>
      <c r="E2" t="s">
        <v>30</v>
      </c>
      <c r="G2">
        <v>2020</v>
      </c>
      <c r="H2" t="s">
        <v>31</v>
      </c>
      <c r="I2" t="s">
        <v>32</v>
      </c>
      <c r="J2" t="s">
        <v>29</v>
      </c>
      <c r="K2" t="s">
        <v>29</v>
      </c>
      <c r="N2">
        <v>401</v>
      </c>
      <c r="O2" t="s">
        <v>29</v>
      </c>
      <c r="P2" t="s">
        <v>33</v>
      </c>
      <c r="Q2" t="s">
        <v>34</v>
      </c>
      <c r="R2" t="s">
        <v>35</v>
      </c>
      <c r="S2" t="s">
        <v>36</v>
      </c>
      <c r="T2" t="s">
        <v>36</v>
      </c>
      <c r="U2" t="s">
        <v>36</v>
      </c>
      <c r="V2" t="s">
        <v>37</v>
      </c>
    </row>
    <row r="3" spans="1:27" ht="14.5">
      <c r="A3">
        <v>2</v>
      </c>
      <c r="B3" t="s">
        <v>29</v>
      </c>
      <c r="C3" t="s">
        <v>29</v>
      </c>
      <c r="D3" t="s">
        <v>29</v>
      </c>
      <c r="E3" t="s">
        <v>38</v>
      </c>
      <c r="G3">
        <v>2022</v>
      </c>
      <c r="H3" t="s">
        <v>38</v>
      </c>
      <c r="I3" t="s">
        <v>29</v>
      </c>
      <c r="J3" t="s">
        <v>29</v>
      </c>
      <c r="K3" t="s">
        <v>29</v>
      </c>
      <c r="N3">
        <v>270</v>
      </c>
      <c r="O3" t="s">
        <v>29</v>
      </c>
      <c r="P3" t="s">
        <v>39</v>
      </c>
      <c r="Q3" t="s">
        <v>34</v>
      </c>
      <c r="R3" t="s">
        <v>35</v>
      </c>
      <c r="S3" t="s">
        <v>36</v>
      </c>
      <c r="T3" t="s">
        <v>36</v>
      </c>
      <c r="U3" t="s">
        <v>36</v>
      </c>
      <c r="V3" t="s">
        <v>37</v>
      </c>
    </row>
    <row r="4" spans="1:27" ht="14.5">
      <c r="A4">
        <v>3</v>
      </c>
      <c r="B4" t="s">
        <v>29</v>
      </c>
      <c r="C4" t="s">
        <v>29</v>
      </c>
      <c r="D4" t="s">
        <v>29</v>
      </c>
      <c r="E4" t="s">
        <v>40</v>
      </c>
      <c r="G4">
        <v>2017</v>
      </c>
      <c r="H4" t="s">
        <v>41</v>
      </c>
      <c r="I4" t="s">
        <v>42</v>
      </c>
      <c r="J4" t="s">
        <v>29</v>
      </c>
      <c r="K4" t="s">
        <v>29</v>
      </c>
      <c r="L4">
        <v>1</v>
      </c>
      <c r="M4">
        <v>379</v>
      </c>
      <c r="N4">
        <v>378</v>
      </c>
      <c r="O4" t="s">
        <v>29</v>
      </c>
      <c r="P4" t="s">
        <v>43</v>
      </c>
      <c r="Q4" t="s">
        <v>34</v>
      </c>
      <c r="R4" t="s">
        <v>35</v>
      </c>
      <c r="S4" t="s">
        <v>36</v>
      </c>
      <c r="T4" t="s">
        <v>37</v>
      </c>
    </row>
    <row r="5" spans="1:27" ht="14.5">
      <c r="A5">
        <v>4</v>
      </c>
      <c r="B5" t="s">
        <v>29</v>
      </c>
      <c r="C5" t="s">
        <v>29</v>
      </c>
      <c r="D5" t="s">
        <v>29</v>
      </c>
      <c r="E5" t="s">
        <v>44</v>
      </c>
      <c r="G5">
        <v>2018</v>
      </c>
      <c r="H5" t="s">
        <v>41</v>
      </c>
      <c r="I5" t="s">
        <v>45</v>
      </c>
      <c r="J5" t="s">
        <v>29</v>
      </c>
      <c r="K5" t="s">
        <v>29</v>
      </c>
      <c r="N5">
        <v>368</v>
      </c>
      <c r="O5" t="s">
        <v>29</v>
      </c>
      <c r="P5" t="s">
        <v>46</v>
      </c>
      <c r="Q5" t="s">
        <v>34</v>
      </c>
      <c r="R5" t="s">
        <v>35</v>
      </c>
      <c r="S5" t="s">
        <v>36</v>
      </c>
      <c r="T5" t="s">
        <v>37</v>
      </c>
    </row>
    <row r="6" spans="1:27" ht="14.5">
      <c r="A6">
        <v>5</v>
      </c>
      <c r="B6" t="s">
        <v>29</v>
      </c>
      <c r="C6" t="s">
        <v>29</v>
      </c>
      <c r="D6" t="s">
        <v>29</v>
      </c>
      <c r="E6" t="s">
        <v>47</v>
      </c>
      <c r="G6">
        <v>2022</v>
      </c>
      <c r="H6" t="s">
        <v>41</v>
      </c>
      <c r="I6" t="s">
        <v>48</v>
      </c>
      <c r="J6" t="s">
        <v>29</v>
      </c>
      <c r="K6" t="s">
        <v>29</v>
      </c>
      <c r="N6">
        <v>258</v>
      </c>
      <c r="O6" t="s">
        <v>29</v>
      </c>
      <c r="P6" t="s">
        <v>49</v>
      </c>
      <c r="Q6" t="s">
        <v>34</v>
      </c>
      <c r="R6" t="s">
        <v>35</v>
      </c>
      <c r="S6" t="s">
        <v>36</v>
      </c>
      <c r="T6" t="s">
        <v>36</v>
      </c>
      <c r="U6" t="s">
        <v>36</v>
      </c>
      <c r="V6" t="s">
        <v>37</v>
      </c>
    </row>
    <row r="7" spans="1:27" ht="14.5">
      <c r="A7">
        <v>6</v>
      </c>
      <c r="B7" t="s">
        <v>29</v>
      </c>
      <c r="C7" t="s">
        <v>29</v>
      </c>
      <c r="D7" t="s">
        <v>29</v>
      </c>
      <c r="E7" t="s">
        <v>50</v>
      </c>
      <c r="G7">
        <v>2015</v>
      </c>
      <c r="H7" t="s">
        <v>50</v>
      </c>
      <c r="I7" t="s">
        <v>29</v>
      </c>
      <c r="J7" t="s">
        <v>29</v>
      </c>
      <c r="K7" t="s">
        <v>29</v>
      </c>
      <c r="N7">
        <v>42</v>
      </c>
      <c r="O7" t="s">
        <v>29</v>
      </c>
      <c r="P7" t="s">
        <v>51</v>
      </c>
      <c r="Q7" t="s">
        <v>34</v>
      </c>
      <c r="R7" t="s">
        <v>35</v>
      </c>
      <c r="S7" t="s">
        <v>36</v>
      </c>
      <c r="T7" t="s">
        <v>37</v>
      </c>
    </row>
    <row r="8" spans="1:27" ht="14.5">
      <c r="A8">
        <v>7</v>
      </c>
      <c r="B8" t="s">
        <v>29</v>
      </c>
      <c r="C8" t="s">
        <v>29</v>
      </c>
      <c r="D8" t="s">
        <v>29</v>
      </c>
      <c r="E8" t="s">
        <v>52</v>
      </c>
      <c r="G8">
        <v>2024</v>
      </c>
      <c r="H8" t="s">
        <v>41</v>
      </c>
      <c r="I8" t="s">
        <v>53</v>
      </c>
      <c r="J8" t="s">
        <v>29</v>
      </c>
      <c r="K8" t="s">
        <v>29</v>
      </c>
      <c r="N8">
        <v>354</v>
      </c>
      <c r="O8" t="s">
        <v>29</v>
      </c>
      <c r="P8" t="s">
        <v>54</v>
      </c>
      <c r="Q8" t="s">
        <v>34</v>
      </c>
      <c r="R8" t="s">
        <v>35</v>
      </c>
      <c r="S8" t="s">
        <v>36</v>
      </c>
      <c r="T8" t="s">
        <v>36</v>
      </c>
      <c r="U8" t="s">
        <v>36</v>
      </c>
      <c r="V8" t="s">
        <v>37</v>
      </c>
    </row>
    <row r="9" spans="1:27" ht="14.5">
      <c r="A9">
        <v>8</v>
      </c>
      <c r="B9" t="s">
        <v>29</v>
      </c>
      <c r="C9" t="s">
        <v>29</v>
      </c>
      <c r="D9" t="s">
        <v>29</v>
      </c>
      <c r="E9" t="s">
        <v>55</v>
      </c>
      <c r="G9">
        <v>2019</v>
      </c>
      <c r="H9" t="s">
        <v>41</v>
      </c>
      <c r="I9" t="s">
        <v>56</v>
      </c>
      <c r="J9" t="s">
        <v>29</v>
      </c>
      <c r="K9" t="s">
        <v>29</v>
      </c>
      <c r="N9">
        <v>1181</v>
      </c>
      <c r="O9" t="s">
        <v>29</v>
      </c>
      <c r="P9" t="s">
        <v>57</v>
      </c>
      <c r="Q9" t="s">
        <v>34</v>
      </c>
      <c r="R9" t="s">
        <v>35</v>
      </c>
      <c r="S9" t="s">
        <v>36</v>
      </c>
      <c r="T9" t="s">
        <v>36</v>
      </c>
      <c r="U9" t="s">
        <v>36</v>
      </c>
      <c r="V9" t="s">
        <v>37</v>
      </c>
    </row>
    <row r="10" spans="1:27" ht="14.5">
      <c r="A10">
        <v>9</v>
      </c>
      <c r="B10" t="s">
        <v>29</v>
      </c>
      <c r="C10" t="s">
        <v>29</v>
      </c>
      <c r="D10" t="s">
        <v>29</v>
      </c>
      <c r="E10" t="s">
        <v>58</v>
      </c>
      <c r="G10">
        <v>2019</v>
      </c>
      <c r="H10" t="s">
        <v>41</v>
      </c>
      <c r="I10" t="s">
        <v>59</v>
      </c>
      <c r="J10" t="s">
        <v>29</v>
      </c>
      <c r="K10" t="s">
        <v>29</v>
      </c>
      <c r="N10">
        <v>861</v>
      </c>
      <c r="O10" t="s">
        <v>29</v>
      </c>
      <c r="P10" t="s">
        <v>60</v>
      </c>
      <c r="Q10" t="s">
        <v>34</v>
      </c>
      <c r="R10" t="s">
        <v>35</v>
      </c>
      <c r="S10" t="s">
        <v>36</v>
      </c>
      <c r="T10" t="s">
        <v>36</v>
      </c>
      <c r="U10" t="s">
        <v>36</v>
      </c>
      <c r="V10" t="s">
        <v>37</v>
      </c>
    </row>
    <row r="11" spans="1:27" ht="14.5">
      <c r="A11">
        <v>10</v>
      </c>
      <c r="B11" t="s">
        <v>29</v>
      </c>
      <c r="C11" t="s">
        <v>29</v>
      </c>
      <c r="D11" t="s">
        <v>29</v>
      </c>
      <c r="E11" t="s">
        <v>61</v>
      </c>
      <c r="G11">
        <v>2014</v>
      </c>
      <c r="H11" t="s">
        <v>41</v>
      </c>
      <c r="I11" t="s">
        <v>62</v>
      </c>
      <c r="J11" t="s">
        <v>29</v>
      </c>
      <c r="K11" t="s">
        <v>29</v>
      </c>
      <c r="L11">
        <v>1</v>
      </c>
      <c r="M11">
        <v>309</v>
      </c>
      <c r="N11">
        <v>308</v>
      </c>
      <c r="O11" t="s">
        <v>29</v>
      </c>
      <c r="P11" t="s">
        <v>63</v>
      </c>
      <c r="Q11" t="s">
        <v>34</v>
      </c>
      <c r="R11" t="s">
        <v>35</v>
      </c>
      <c r="S11" t="s">
        <v>36</v>
      </c>
      <c r="T11" t="s">
        <v>37</v>
      </c>
    </row>
    <row r="12" spans="1:27" ht="14.5">
      <c r="A12">
        <v>11</v>
      </c>
      <c r="B12" t="s">
        <v>29</v>
      </c>
      <c r="C12" t="s">
        <v>29</v>
      </c>
      <c r="D12" t="s">
        <v>29</v>
      </c>
      <c r="E12" t="s">
        <v>64</v>
      </c>
      <c r="G12">
        <v>2021</v>
      </c>
      <c r="H12" t="s">
        <v>31</v>
      </c>
      <c r="I12" t="s">
        <v>65</v>
      </c>
      <c r="J12" t="s">
        <v>29</v>
      </c>
      <c r="K12" t="s">
        <v>29</v>
      </c>
      <c r="N12">
        <v>329</v>
      </c>
      <c r="O12" t="s">
        <v>29</v>
      </c>
      <c r="P12" t="s">
        <v>66</v>
      </c>
      <c r="Q12" t="s">
        <v>34</v>
      </c>
      <c r="R12" t="s">
        <v>35</v>
      </c>
      <c r="S12" t="s">
        <v>36</v>
      </c>
      <c r="T12" t="s">
        <v>36</v>
      </c>
      <c r="U12" t="s">
        <v>36</v>
      </c>
      <c r="V12" t="s">
        <v>37</v>
      </c>
    </row>
    <row r="13" spans="1:27" ht="14.5">
      <c r="A13">
        <v>12</v>
      </c>
      <c r="B13" t="s">
        <v>29</v>
      </c>
      <c r="C13" t="s">
        <v>29</v>
      </c>
      <c r="D13" t="s">
        <v>29</v>
      </c>
      <c r="E13" t="s">
        <v>67</v>
      </c>
      <c r="G13">
        <v>2018</v>
      </c>
      <c r="H13" t="s">
        <v>67</v>
      </c>
      <c r="I13" t="s">
        <v>68</v>
      </c>
      <c r="J13" t="s">
        <v>29</v>
      </c>
      <c r="K13" t="s">
        <v>29</v>
      </c>
      <c r="N13">
        <v>250</v>
      </c>
      <c r="O13" t="s">
        <v>29</v>
      </c>
      <c r="P13" t="s">
        <v>69</v>
      </c>
      <c r="Q13" t="s">
        <v>34</v>
      </c>
      <c r="R13" t="s">
        <v>35</v>
      </c>
      <c r="S13" t="s">
        <v>36</v>
      </c>
      <c r="T13" t="s">
        <v>37</v>
      </c>
    </row>
    <row r="14" spans="1:27" ht="14.5">
      <c r="A14">
        <v>13</v>
      </c>
      <c r="B14" t="s">
        <v>29</v>
      </c>
      <c r="C14" t="s">
        <v>29</v>
      </c>
      <c r="D14" t="s">
        <v>29</v>
      </c>
      <c r="E14" t="s">
        <v>70</v>
      </c>
      <c r="F14" t="s">
        <v>71</v>
      </c>
      <c r="G14">
        <v>2020</v>
      </c>
      <c r="H14" t="s">
        <v>72</v>
      </c>
      <c r="I14" t="s">
        <v>73</v>
      </c>
      <c r="J14" t="s">
        <v>74</v>
      </c>
      <c r="K14" t="s">
        <v>29</v>
      </c>
      <c r="L14">
        <v>1210</v>
      </c>
      <c r="M14">
        <v>1211</v>
      </c>
      <c r="N14">
        <v>1</v>
      </c>
      <c r="O14" t="s">
        <v>75</v>
      </c>
      <c r="P14" t="s">
        <v>76</v>
      </c>
      <c r="Q14" t="s">
        <v>77</v>
      </c>
      <c r="R14" t="s">
        <v>35</v>
      </c>
      <c r="S14" t="s">
        <v>36</v>
      </c>
      <c r="T14" t="s">
        <v>36</v>
      </c>
      <c r="U14" t="s">
        <v>36</v>
      </c>
      <c r="V14" t="s">
        <v>37</v>
      </c>
    </row>
    <row r="15" spans="1:27" ht="14.5">
      <c r="A15">
        <v>14</v>
      </c>
      <c r="B15" t="s">
        <v>29</v>
      </c>
      <c r="C15" t="s">
        <v>29</v>
      </c>
      <c r="D15" t="s">
        <v>29</v>
      </c>
      <c r="E15" t="s">
        <v>78</v>
      </c>
      <c r="G15">
        <v>2006</v>
      </c>
      <c r="H15" t="s">
        <v>79</v>
      </c>
      <c r="I15" t="s">
        <v>29</v>
      </c>
      <c r="J15" t="s">
        <v>29</v>
      </c>
      <c r="K15" t="s">
        <v>29</v>
      </c>
      <c r="N15">
        <v>368</v>
      </c>
      <c r="O15" t="s">
        <v>29</v>
      </c>
      <c r="P15" t="s">
        <v>80</v>
      </c>
      <c r="Q15" t="s">
        <v>34</v>
      </c>
      <c r="R15" t="s">
        <v>35</v>
      </c>
      <c r="S15" t="s">
        <v>36</v>
      </c>
      <c r="T15" t="s">
        <v>37</v>
      </c>
    </row>
    <row r="16" spans="1:27" ht="14.5">
      <c r="A16">
        <v>15</v>
      </c>
      <c r="B16" t="s">
        <v>29</v>
      </c>
      <c r="C16" t="s">
        <v>29</v>
      </c>
      <c r="D16" t="s">
        <v>29</v>
      </c>
      <c r="E16" t="s">
        <v>81</v>
      </c>
      <c r="G16">
        <v>2017</v>
      </c>
      <c r="H16" t="s">
        <v>81</v>
      </c>
      <c r="I16" t="s">
        <v>29</v>
      </c>
      <c r="J16" t="s">
        <v>29</v>
      </c>
      <c r="K16" t="s">
        <v>29</v>
      </c>
      <c r="N16">
        <v>806</v>
      </c>
      <c r="O16" t="s">
        <v>29</v>
      </c>
      <c r="P16" t="s">
        <v>82</v>
      </c>
      <c r="Q16" t="s">
        <v>34</v>
      </c>
      <c r="R16" t="s">
        <v>35</v>
      </c>
      <c r="S16" t="s">
        <v>36</v>
      </c>
      <c r="T16" t="s">
        <v>37</v>
      </c>
    </row>
    <row r="17" spans="1:27" ht="14.5">
      <c r="A17">
        <v>16</v>
      </c>
      <c r="B17" t="s">
        <v>29</v>
      </c>
      <c r="C17" t="s">
        <v>29</v>
      </c>
      <c r="D17" t="s">
        <v>29</v>
      </c>
      <c r="E17" t="s">
        <v>83</v>
      </c>
      <c r="G17">
        <v>2023</v>
      </c>
      <c r="H17" t="s">
        <v>83</v>
      </c>
      <c r="I17" t="s">
        <v>29</v>
      </c>
      <c r="J17" t="s">
        <v>29</v>
      </c>
      <c r="K17" t="s">
        <v>29</v>
      </c>
      <c r="N17">
        <v>363</v>
      </c>
      <c r="O17" t="s">
        <v>29</v>
      </c>
      <c r="P17" t="s">
        <v>84</v>
      </c>
      <c r="Q17" t="s">
        <v>34</v>
      </c>
      <c r="R17" t="s">
        <v>35</v>
      </c>
      <c r="S17" t="s">
        <v>36</v>
      </c>
      <c r="T17" t="s">
        <v>36</v>
      </c>
      <c r="U17" t="s">
        <v>36</v>
      </c>
      <c r="V17" t="s">
        <v>37</v>
      </c>
    </row>
    <row r="18" spans="1:27" ht="14.5">
      <c r="A18">
        <v>17</v>
      </c>
      <c r="B18" t="s">
        <v>29</v>
      </c>
      <c r="C18" t="s">
        <v>29</v>
      </c>
      <c r="D18" t="s">
        <v>29</v>
      </c>
      <c r="E18" t="s">
        <v>85</v>
      </c>
      <c r="G18">
        <v>2020</v>
      </c>
      <c r="H18" t="s">
        <v>86</v>
      </c>
      <c r="I18" t="s">
        <v>29</v>
      </c>
      <c r="J18" t="s">
        <v>29</v>
      </c>
      <c r="K18" t="s">
        <v>29</v>
      </c>
      <c r="N18">
        <v>443</v>
      </c>
      <c r="O18" t="s">
        <v>29</v>
      </c>
      <c r="P18" t="s">
        <v>87</v>
      </c>
      <c r="Q18" t="s">
        <v>34</v>
      </c>
      <c r="R18" t="s">
        <v>35</v>
      </c>
      <c r="S18" t="s">
        <v>36</v>
      </c>
      <c r="T18" t="s">
        <v>36</v>
      </c>
      <c r="U18" t="s">
        <v>36</v>
      </c>
      <c r="V18" t="s">
        <v>37</v>
      </c>
    </row>
    <row r="19" spans="1:27" ht="14.5">
      <c r="A19">
        <v>18</v>
      </c>
      <c r="B19" t="s">
        <v>29</v>
      </c>
      <c r="C19" t="s">
        <v>29</v>
      </c>
      <c r="D19" t="s">
        <v>29</v>
      </c>
      <c r="E19" t="s">
        <v>88</v>
      </c>
      <c r="G19">
        <v>2023</v>
      </c>
      <c r="H19" t="s">
        <v>88</v>
      </c>
      <c r="I19" t="s">
        <v>29</v>
      </c>
      <c r="J19" t="s">
        <v>29</v>
      </c>
      <c r="K19" t="s">
        <v>29</v>
      </c>
      <c r="N19">
        <v>1829</v>
      </c>
      <c r="O19" t="s">
        <v>29</v>
      </c>
      <c r="P19" t="s">
        <v>89</v>
      </c>
      <c r="Q19" t="s">
        <v>34</v>
      </c>
      <c r="R19" t="s">
        <v>35</v>
      </c>
      <c r="S19" t="s">
        <v>36</v>
      </c>
      <c r="T19" t="s">
        <v>36</v>
      </c>
      <c r="U19" t="s">
        <v>36</v>
      </c>
      <c r="V19" t="s">
        <v>37</v>
      </c>
    </row>
    <row r="20" spans="1:27" ht="14.5">
      <c r="A20">
        <v>19</v>
      </c>
      <c r="B20" t="s">
        <v>29</v>
      </c>
      <c r="C20" t="s">
        <v>29</v>
      </c>
      <c r="D20" t="s">
        <v>29</v>
      </c>
      <c r="E20" t="s">
        <v>90</v>
      </c>
      <c r="G20">
        <v>2020</v>
      </c>
      <c r="H20" t="s">
        <v>67</v>
      </c>
      <c r="I20" t="s">
        <v>91</v>
      </c>
      <c r="J20" t="s">
        <v>29</v>
      </c>
      <c r="K20" t="s">
        <v>29</v>
      </c>
      <c r="N20">
        <v>195</v>
      </c>
      <c r="O20" t="s">
        <v>29</v>
      </c>
      <c r="P20" t="s">
        <v>92</v>
      </c>
      <c r="Q20" t="s">
        <v>34</v>
      </c>
      <c r="R20" t="s">
        <v>35</v>
      </c>
      <c r="S20" t="s">
        <v>36</v>
      </c>
      <c r="T20" t="s">
        <v>36</v>
      </c>
      <c r="U20" t="s">
        <v>36</v>
      </c>
      <c r="V20" t="s">
        <v>37</v>
      </c>
    </row>
    <row r="21" spans="1:27" ht="14.5">
      <c r="A21">
        <v>20</v>
      </c>
      <c r="B21" t="s">
        <v>29</v>
      </c>
      <c r="C21" t="s">
        <v>29</v>
      </c>
      <c r="D21" t="s">
        <v>29</v>
      </c>
      <c r="E21" t="s">
        <v>93</v>
      </c>
      <c r="G21">
        <v>2021</v>
      </c>
      <c r="H21" t="s">
        <v>67</v>
      </c>
      <c r="I21" t="s">
        <v>94</v>
      </c>
      <c r="J21" t="s">
        <v>29</v>
      </c>
      <c r="K21" t="s">
        <v>29</v>
      </c>
      <c r="N21">
        <v>182</v>
      </c>
      <c r="O21" t="s">
        <v>29</v>
      </c>
      <c r="P21" t="s">
        <v>95</v>
      </c>
      <c r="Q21" t="s">
        <v>34</v>
      </c>
      <c r="R21" t="s">
        <v>35</v>
      </c>
      <c r="S21" t="s">
        <v>36</v>
      </c>
      <c r="T21" t="s">
        <v>36</v>
      </c>
      <c r="U21" t="s">
        <v>36</v>
      </c>
      <c r="V21" t="s">
        <v>37</v>
      </c>
    </row>
    <row r="22" spans="1:27" ht="14.5">
      <c r="A22">
        <v>21</v>
      </c>
      <c r="B22" t="s">
        <v>29</v>
      </c>
      <c r="C22" t="s">
        <v>29</v>
      </c>
      <c r="D22" t="s">
        <v>29</v>
      </c>
      <c r="E22" t="s">
        <v>96</v>
      </c>
      <c r="G22">
        <v>2022</v>
      </c>
      <c r="H22" t="s">
        <v>67</v>
      </c>
      <c r="I22" t="s">
        <v>97</v>
      </c>
      <c r="J22" t="s">
        <v>29</v>
      </c>
      <c r="K22" t="s">
        <v>29</v>
      </c>
      <c r="N22">
        <v>113</v>
      </c>
      <c r="O22" t="s">
        <v>29</v>
      </c>
      <c r="P22" t="s">
        <v>98</v>
      </c>
      <c r="Q22" t="s">
        <v>34</v>
      </c>
      <c r="R22" t="s">
        <v>35</v>
      </c>
      <c r="S22" t="s">
        <v>36</v>
      </c>
      <c r="T22" t="s">
        <v>36</v>
      </c>
      <c r="U22" t="s">
        <v>36</v>
      </c>
      <c r="V22" t="s">
        <v>37</v>
      </c>
    </row>
    <row r="23" spans="1:27" ht="14.5">
      <c r="A23">
        <v>22</v>
      </c>
      <c r="B23" t="s">
        <v>29</v>
      </c>
      <c r="C23" t="s">
        <v>29</v>
      </c>
      <c r="D23" t="s">
        <v>29</v>
      </c>
      <c r="E23" t="s">
        <v>99</v>
      </c>
      <c r="G23">
        <v>2023</v>
      </c>
      <c r="H23" t="s">
        <v>67</v>
      </c>
      <c r="I23" t="s">
        <v>100</v>
      </c>
      <c r="J23" t="s">
        <v>29</v>
      </c>
      <c r="K23" t="s">
        <v>29</v>
      </c>
      <c r="N23">
        <v>177</v>
      </c>
      <c r="O23" t="s">
        <v>29</v>
      </c>
      <c r="P23" t="s">
        <v>101</v>
      </c>
      <c r="Q23" t="s">
        <v>34</v>
      </c>
      <c r="R23" t="s">
        <v>35</v>
      </c>
      <c r="S23" t="s">
        <v>36</v>
      </c>
      <c r="T23" t="s">
        <v>36</v>
      </c>
      <c r="U23" t="s">
        <v>36</v>
      </c>
      <c r="V23" t="s">
        <v>37</v>
      </c>
    </row>
    <row r="24" spans="1:27" ht="14.5">
      <c r="A24">
        <v>23</v>
      </c>
      <c r="B24" t="s">
        <v>29</v>
      </c>
      <c r="C24" t="s">
        <v>29</v>
      </c>
      <c r="D24" t="s">
        <v>29</v>
      </c>
      <c r="E24" t="s">
        <v>102</v>
      </c>
      <c r="G24">
        <v>2024</v>
      </c>
      <c r="H24" t="s">
        <v>67</v>
      </c>
      <c r="I24" t="s">
        <v>103</v>
      </c>
      <c r="J24" t="s">
        <v>29</v>
      </c>
      <c r="K24" t="s">
        <v>29</v>
      </c>
      <c r="N24">
        <v>230</v>
      </c>
      <c r="O24" t="s">
        <v>29</v>
      </c>
      <c r="P24" t="s">
        <v>104</v>
      </c>
      <c r="Q24" t="s">
        <v>34</v>
      </c>
      <c r="R24" t="s">
        <v>35</v>
      </c>
      <c r="S24" t="s">
        <v>36</v>
      </c>
      <c r="T24" t="s">
        <v>36</v>
      </c>
      <c r="U24" t="s">
        <v>36</v>
      </c>
      <c r="V24" t="s">
        <v>37</v>
      </c>
    </row>
    <row r="25" spans="1:27" ht="14.5">
      <c r="A25">
        <v>24</v>
      </c>
      <c r="B25" t="s">
        <v>29</v>
      </c>
      <c r="C25" t="s">
        <v>29</v>
      </c>
      <c r="D25" t="s">
        <v>29</v>
      </c>
      <c r="E25" t="s">
        <v>105</v>
      </c>
      <c r="G25">
        <v>2007</v>
      </c>
      <c r="H25" t="s">
        <v>41</v>
      </c>
      <c r="I25" t="s">
        <v>106</v>
      </c>
      <c r="J25" t="s">
        <v>29</v>
      </c>
      <c r="K25" t="s">
        <v>29</v>
      </c>
      <c r="N25">
        <v>390</v>
      </c>
      <c r="O25" t="s">
        <v>29</v>
      </c>
      <c r="P25" t="s">
        <v>107</v>
      </c>
      <c r="Q25" t="s">
        <v>34</v>
      </c>
      <c r="R25" t="s">
        <v>35</v>
      </c>
      <c r="S25" t="s">
        <v>36</v>
      </c>
      <c r="T25" t="s">
        <v>37</v>
      </c>
    </row>
    <row r="26" spans="1:27" ht="14.5">
      <c r="A26">
        <v>25</v>
      </c>
      <c r="B26" t="s">
        <v>29</v>
      </c>
      <c r="C26" t="s">
        <v>29</v>
      </c>
      <c r="D26" t="s">
        <v>29</v>
      </c>
      <c r="E26" t="s">
        <v>108</v>
      </c>
      <c r="G26">
        <v>2019</v>
      </c>
      <c r="H26" t="s">
        <v>41</v>
      </c>
      <c r="I26" t="s">
        <v>109</v>
      </c>
      <c r="J26" t="s">
        <v>29</v>
      </c>
      <c r="K26" t="s">
        <v>29</v>
      </c>
      <c r="N26">
        <v>262</v>
      </c>
      <c r="O26" t="s">
        <v>29</v>
      </c>
      <c r="P26" t="s">
        <v>110</v>
      </c>
      <c r="Q26" t="s">
        <v>34</v>
      </c>
      <c r="R26" t="s">
        <v>35</v>
      </c>
      <c r="S26" t="s">
        <v>36</v>
      </c>
      <c r="T26" t="s">
        <v>36</v>
      </c>
      <c r="U26" t="s">
        <v>36</v>
      </c>
      <c r="V26" t="s">
        <v>37</v>
      </c>
    </row>
    <row r="27" spans="1:27" ht="14.5">
      <c r="A27">
        <v>26</v>
      </c>
      <c r="B27" t="s">
        <v>29</v>
      </c>
      <c r="C27" t="s">
        <v>29</v>
      </c>
      <c r="D27" t="s">
        <v>29</v>
      </c>
      <c r="E27" t="s">
        <v>111</v>
      </c>
      <c r="G27">
        <v>2024</v>
      </c>
      <c r="H27" t="s">
        <v>112</v>
      </c>
      <c r="I27" t="s">
        <v>113</v>
      </c>
      <c r="J27" t="s">
        <v>29</v>
      </c>
      <c r="K27" t="s">
        <v>29</v>
      </c>
      <c r="N27">
        <v>230</v>
      </c>
      <c r="O27" t="s">
        <v>29</v>
      </c>
      <c r="P27" t="s">
        <v>114</v>
      </c>
      <c r="Q27" t="s">
        <v>34</v>
      </c>
      <c r="R27" t="s">
        <v>35</v>
      </c>
      <c r="S27" t="s">
        <v>36</v>
      </c>
      <c r="T27" t="s">
        <v>36</v>
      </c>
      <c r="U27" t="s">
        <v>36</v>
      </c>
      <c r="V27" t="s">
        <v>37</v>
      </c>
    </row>
    <row r="28" spans="1:27" ht="14.5">
      <c r="A28">
        <v>27</v>
      </c>
      <c r="B28" t="s">
        <v>115</v>
      </c>
      <c r="C28" t="s">
        <v>116</v>
      </c>
      <c r="D28" t="s">
        <v>117</v>
      </c>
      <c r="E28" t="s">
        <v>118</v>
      </c>
      <c r="F28" t="s">
        <v>119</v>
      </c>
      <c r="G28">
        <v>2020</v>
      </c>
      <c r="H28" t="s">
        <v>120</v>
      </c>
      <c r="I28" t="s">
        <v>29</v>
      </c>
      <c r="J28" t="s">
        <v>29</v>
      </c>
      <c r="K28" t="s">
        <v>121</v>
      </c>
      <c r="L28">
        <v>190</v>
      </c>
      <c r="M28">
        <v>193</v>
      </c>
      <c r="N28">
        <v>3</v>
      </c>
      <c r="O28" t="s">
        <v>122</v>
      </c>
      <c r="P28" t="s">
        <v>123</v>
      </c>
      <c r="Q28" t="s">
        <v>124</v>
      </c>
      <c r="R28" t="s">
        <v>35</v>
      </c>
      <c r="S28" t="s">
        <v>36</v>
      </c>
      <c r="T28" t="s">
        <v>36</v>
      </c>
      <c r="U28" t="s">
        <v>36</v>
      </c>
      <c r="V28" t="s">
        <v>36</v>
      </c>
      <c r="W28" t="s">
        <v>36</v>
      </c>
      <c r="X28" t="s">
        <v>36</v>
      </c>
      <c r="Y28" t="s">
        <v>36</v>
      </c>
      <c r="Z28" t="s">
        <v>36</v>
      </c>
      <c r="AA28" t="s">
        <v>37</v>
      </c>
    </row>
    <row r="29" spans="1:27" ht="14.5">
      <c r="A29">
        <v>28</v>
      </c>
      <c r="B29" t="s">
        <v>128</v>
      </c>
      <c r="C29" t="s">
        <v>129</v>
      </c>
      <c r="D29" t="s">
        <v>130</v>
      </c>
      <c r="E29" t="s">
        <v>131</v>
      </c>
      <c r="F29" t="s">
        <v>132</v>
      </c>
      <c r="G29">
        <v>2022</v>
      </c>
      <c r="H29" t="s">
        <v>133</v>
      </c>
      <c r="I29" t="s">
        <v>134</v>
      </c>
      <c r="J29" t="s">
        <v>29</v>
      </c>
      <c r="K29" t="s">
        <v>29</v>
      </c>
      <c r="L29">
        <v>435</v>
      </c>
      <c r="M29">
        <v>445</v>
      </c>
      <c r="N29">
        <v>10</v>
      </c>
      <c r="O29" t="s">
        <v>135</v>
      </c>
      <c r="P29" t="s">
        <v>136</v>
      </c>
      <c r="Q29" t="s">
        <v>124</v>
      </c>
      <c r="R29" t="s">
        <v>35</v>
      </c>
      <c r="S29" t="s">
        <v>36</v>
      </c>
      <c r="T29" t="s">
        <v>36</v>
      </c>
      <c r="U29" t="s">
        <v>36</v>
      </c>
      <c r="V29" t="s">
        <v>36</v>
      </c>
      <c r="W29" t="s">
        <v>36</v>
      </c>
      <c r="X29" t="s">
        <v>36</v>
      </c>
      <c r="Y29" t="s">
        <v>36</v>
      </c>
      <c r="Z29" t="s">
        <v>36</v>
      </c>
      <c r="AA29" t="s">
        <v>37</v>
      </c>
    </row>
    <row r="30" spans="1:27" ht="14.5">
      <c r="A30">
        <v>29</v>
      </c>
      <c r="B30" t="s">
        <v>137</v>
      </c>
      <c r="C30" t="s">
        <v>138</v>
      </c>
      <c r="D30" t="s">
        <v>139</v>
      </c>
      <c r="E30" t="s">
        <v>140</v>
      </c>
      <c r="F30" t="s">
        <v>141</v>
      </c>
      <c r="G30">
        <v>2011</v>
      </c>
      <c r="H30" t="s">
        <v>142</v>
      </c>
      <c r="I30" t="s">
        <v>29</v>
      </c>
      <c r="J30" t="s">
        <v>29</v>
      </c>
      <c r="K30" t="s">
        <v>143</v>
      </c>
      <c r="L30">
        <v>1</v>
      </c>
      <c r="M30">
        <v>10</v>
      </c>
      <c r="N30">
        <v>9</v>
      </c>
      <c r="O30" t="s">
        <v>144</v>
      </c>
      <c r="P30" t="s">
        <v>145</v>
      </c>
      <c r="Q30" t="s">
        <v>124</v>
      </c>
      <c r="R30" t="s">
        <v>35</v>
      </c>
      <c r="S30" t="s">
        <v>36</v>
      </c>
      <c r="T30" t="s">
        <v>37</v>
      </c>
    </row>
    <row r="31" spans="1:27" ht="14.5">
      <c r="A31">
        <v>30</v>
      </c>
      <c r="B31" t="s">
        <v>146</v>
      </c>
      <c r="C31" t="s">
        <v>147</v>
      </c>
      <c r="D31" t="s">
        <v>148</v>
      </c>
      <c r="E31" t="s">
        <v>149</v>
      </c>
      <c r="F31" t="s">
        <v>150</v>
      </c>
      <c r="G31">
        <v>2023</v>
      </c>
      <c r="H31" t="s">
        <v>151</v>
      </c>
      <c r="I31" t="s">
        <v>152</v>
      </c>
      <c r="J31" t="s">
        <v>153</v>
      </c>
      <c r="K31" t="s">
        <v>154</v>
      </c>
      <c r="O31" t="s">
        <v>155</v>
      </c>
      <c r="P31" t="s">
        <v>156</v>
      </c>
      <c r="Q31" t="s">
        <v>157</v>
      </c>
      <c r="R31" t="s">
        <v>35</v>
      </c>
      <c r="S31" t="s">
        <v>36</v>
      </c>
      <c r="T31" t="s">
        <v>36</v>
      </c>
      <c r="U31" t="s">
        <v>36</v>
      </c>
      <c r="V31" t="s">
        <v>36</v>
      </c>
      <c r="W31" t="s">
        <v>36</v>
      </c>
      <c r="X31" t="s">
        <v>36</v>
      </c>
      <c r="Y31" t="s">
        <v>36</v>
      </c>
      <c r="Z31" t="s">
        <v>36</v>
      </c>
      <c r="AA31" t="s">
        <v>37</v>
      </c>
    </row>
    <row r="32" spans="1:27" ht="14.5">
      <c r="A32">
        <v>31</v>
      </c>
      <c r="B32" t="s">
        <v>158</v>
      </c>
      <c r="C32" t="s">
        <v>159</v>
      </c>
      <c r="D32" t="s">
        <v>160</v>
      </c>
      <c r="E32" t="s">
        <v>161</v>
      </c>
      <c r="F32" t="s">
        <v>162</v>
      </c>
      <c r="G32">
        <v>2022</v>
      </c>
      <c r="H32" t="s">
        <v>163</v>
      </c>
      <c r="I32" t="s">
        <v>164</v>
      </c>
      <c r="J32" t="s">
        <v>165</v>
      </c>
      <c r="K32" t="s">
        <v>29</v>
      </c>
      <c r="L32">
        <v>295</v>
      </c>
      <c r="M32">
        <v>316</v>
      </c>
      <c r="N32">
        <v>21</v>
      </c>
      <c r="O32" t="s">
        <v>166</v>
      </c>
      <c r="P32" s="45" t="s">
        <v>167</v>
      </c>
      <c r="Q32" t="s">
        <v>157</v>
      </c>
      <c r="R32" t="s">
        <v>35</v>
      </c>
      <c r="S32" t="s">
        <v>36</v>
      </c>
      <c r="T32" t="s">
        <v>36</v>
      </c>
      <c r="U32" t="s">
        <v>36</v>
      </c>
      <c r="V32" t="s">
        <v>36</v>
      </c>
      <c r="W32" t="s">
        <v>36</v>
      </c>
      <c r="X32" t="s">
        <v>36</v>
      </c>
      <c r="Y32" t="s">
        <v>36</v>
      </c>
      <c r="Z32" t="s">
        <v>36</v>
      </c>
      <c r="AA32" t="s">
        <v>37</v>
      </c>
    </row>
    <row r="33" spans="1:27" ht="14.5">
      <c r="A33">
        <v>32</v>
      </c>
      <c r="B33" t="s">
        <v>168</v>
      </c>
      <c r="C33" t="s">
        <v>169</v>
      </c>
      <c r="D33" t="s">
        <v>170</v>
      </c>
      <c r="E33" t="s">
        <v>171</v>
      </c>
      <c r="F33" t="s">
        <v>172</v>
      </c>
      <c r="G33">
        <v>2023</v>
      </c>
      <c r="H33" t="s">
        <v>173</v>
      </c>
      <c r="I33" t="s">
        <v>174</v>
      </c>
      <c r="J33" t="s">
        <v>29</v>
      </c>
      <c r="K33" t="s">
        <v>29</v>
      </c>
      <c r="O33" t="s">
        <v>175</v>
      </c>
      <c r="P33" t="s">
        <v>176</v>
      </c>
      <c r="Q33" t="s">
        <v>124</v>
      </c>
      <c r="R33" t="s">
        <v>35</v>
      </c>
      <c r="S33" t="s">
        <v>36</v>
      </c>
      <c r="T33" t="s">
        <v>36</v>
      </c>
      <c r="U33" t="s">
        <v>36</v>
      </c>
      <c r="V33" t="s">
        <v>36</v>
      </c>
      <c r="W33" t="s">
        <v>36</v>
      </c>
      <c r="X33" t="s">
        <v>36</v>
      </c>
      <c r="Y33" t="s">
        <v>36</v>
      </c>
      <c r="Z33" t="s">
        <v>36</v>
      </c>
      <c r="AA33" t="s">
        <v>37</v>
      </c>
    </row>
    <row r="34" spans="1:27" ht="14.5">
      <c r="A34">
        <v>33</v>
      </c>
      <c r="B34" t="s">
        <v>177</v>
      </c>
      <c r="C34" t="s">
        <v>178</v>
      </c>
      <c r="D34" t="s">
        <v>179</v>
      </c>
      <c r="E34" t="s">
        <v>180</v>
      </c>
      <c r="F34" t="s">
        <v>181</v>
      </c>
      <c r="G34">
        <v>2006</v>
      </c>
      <c r="H34" t="s">
        <v>182</v>
      </c>
      <c r="I34" t="s">
        <v>29</v>
      </c>
      <c r="J34" t="s">
        <v>29</v>
      </c>
      <c r="K34" t="s">
        <v>183</v>
      </c>
      <c r="L34">
        <v>349</v>
      </c>
      <c r="M34">
        <v>354</v>
      </c>
      <c r="N34">
        <v>5</v>
      </c>
      <c r="O34" t="s">
        <v>184</v>
      </c>
      <c r="P34" t="s">
        <v>185</v>
      </c>
      <c r="Q34" t="s">
        <v>124</v>
      </c>
      <c r="R34" t="s">
        <v>35</v>
      </c>
      <c r="S34" t="s">
        <v>36</v>
      </c>
      <c r="T34" t="s">
        <v>37</v>
      </c>
    </row>
    <row r="35" spans="1:27" ht="14.5">
      <c r="A35">
        <v>34</v>
      </c>
      <c r="B35" t="s">
        <v>186</v>
      </c>
      <c r="C35" t="s">
        <v>187</v>
      </c>
      <c r="D35" t="s">
        <v>188</v>
      </c>
      <c r="E35" t="s">
        <v>189</v>
      </c>
      <c r="F35" t="s">
        <v>190</v>
      </c>
      <c r="G35">
        <v>2022</v>
      </c>
      <c r="H35" t="s">
        <v>191</v>
      </c>
      <c r="I35" t="s">
        <v>29</v>
      </c>
      <c r="J35" t="s">
        <v>29</v>
      </c>
      <c r="K35" t="s">
        <v>29</v>
      </c>
      <c r="L35">
        <v>434</v>
      </c>
      <c r="M35">
        <v>435</v>
      </c>
      <c r="N35">
        <v>1</v>
      </c>
      <c r="O35" t="s">
        <v>192</v>
      </c>
      <c r="P35" t="s">
        <v>193</v>
      </c>
      <c r="Q35" t="s">
        <v>124</v>
      </c>
      <c r="R35" t="s">
        <v>35</v>
      </c>
      <c r="S35" t="s">
        <v>36</v>
      </c>
      <c r="T35" t="s">
        <v>36</v>
      </c>
      <c r="U35" t="s">
        <v>36</v>
      </c>
      <c r="V35" t="s">
        <v>36</v>
      </c>
      <c r="W35" t="s">
        <v>36</v>
      </c>
      <c r="X35" t="s">
        <v>37</v>
      </c>
    </row>
    <row r="36" spans="1:27" ht="14.5">
      <c r="A36">
        <v>35</v>
      </c>
      <c r="B36" t="s">
        <v>195</v>
      </c>
      <c r="C36" t="s">
        <v>196</v>
      </c>
      <c r="D36" t="s">
        <v>197</v>
      </c>
      <c r="E36" t="s">
        <v>198</v>
      </c>
      <c r="F36" t="s">
        <v>199</v>
      </c>
      <c r="G36">
        <v>2019</v>
      </c>
      <c r="H36" t="s">
        <v>200</v>
      </c>
      <c r="I36" t="s">
        <v>201</v>
      </c>
      <c r="J36" t="s">
        <v>29</v>
      </c>
      <c r="K36" t="s">
        <v>202</v>
      </c>
      <c r="L36">
        <v>136</v>
      </c>
      <c r="M36">
        <v>145</v>
      </c>
      <c r="N36">
        <v>9</v>
      </c>
      <c r="O36" t="s">
        <v>203</v>
      </c>
      <c r="P36" t="s">
        <v>204</v>
      </c>
      <c r="Q36" t="s">
        <v>124</v>
      </c>
      <c r="R36" t="s">
        <v>35</v>
      </c>
      <c r="S36" t="s">
        <v>36</v>
      </c>
      <c r="T36" t="s">
        <v>36</v>
      </c>
      <c r="U36" t="s">
        <v>36</v>
      </c>
      <c r="V36" t="s">
        <v>36</v>
      </c>
      <c r="W36" t="s">
        <v>36</v>
      </c>
      <c r="X36" t="s">
        <v>36</v>
      </c>
      <c r="Y36" t="s">
        <v>37</v>
      </c>
    </row>
    <row r="37" spans="1:27" s="42" customFormat="1" ht="14.5">
      <c r="A37" s="42">
        <v>36</v>
      </c>
      <c r="B37" s="42" t="s">
        <v>205</v>
      </c>
      <c r="C37" s="42" t="s">
        <v>206</v>
      </c>
      <c r="D37" s="42" t="s">
        <v>207</v>
      </c>
      <c r="E37" s="42" t="s">
        <v>208</v>
      </c>
      <c r="F37" s="42" t="s">
        <v>209</v>
      </c>
      <c r="G37" s="42">
        <v>2023</v>
      </c>
      <c r="H37" s="42" t="s">
        <v>210</v>
      </c>
      <c r="I37" s="42" t="s">
        <v>29</v>
      </c>
      <c r="J37" s="42" t="s">
        <v>29</v>
      </c>
      <c r="K37" s="42" t="s">
        <v>29</v>
      </c>
      <c r="L37" s="42">
        <v>318</v>
      </c>
      <c r="M37" s="42">
        <v>327</v>
      </c>
      <c r="N37" s="42">
        <v>9</v>
      </c>
      <c r="O37" s="42" t="s">
        <v>211</v>
      </c>
      <c r="P37" s="42" t="s">
        <v>212</v>
      </c>
      <c r="Q37" s="42" t="s">
        <v>124</v>
      </c>
      <c r="R37" s="42" t="s">
        <v>35</v>
      </c>
      <c r="S37" s="42" t="s">
        <v>36</v>
      </c>
      <c r="T37" s="42" t="s">
        <v>36</v>
      </c>
      <c r="U37" s="42" t="s">
        <v>36</v>
      </c>
      <c r="V37" s="42" t="s">
        <v>36</v>
      </c>
      <c r="W37" s="42" t="s">
        <v>36</v>
      </c>
      <c r="X37" s="42" t="s">
        <v>36</v>
      </c>
      <c r="Y37" s="42" t="s">
        <v>36</v>
      </c>
      <c r="Z37" s="42" t="s">
        <v>36</v>
      </c>
      <c r="AA37" s="42" t="s">
        <v>36</v>
      </c>
    </row>
    <row r="38" spans="1:27" ht="14.5">
      <c r="A38">
        <v>37</v>
      </c>
      <c r="B38" t="s">
        <v>213</v>
      </c>
      <c r="C38" t="s">
        <v>214</v>
      </c>
      <c r="D38" t="s">
        <v>215</v>
      </c>
      <c r="E38" t="s">
        <v>216</v>
      </c>
      <c r="F38" t="s">
        <v>217</v>
      </c>
      <c r="G38">
        <v>2021</v>
      </c>
      <c r="H38" t="s">
        <v>67</v>
      </c>
      <c r="I38" t="s">
        <v>94</v>
      </c>
      <c r="J38" t="s">
        <v>29</v>
      </c>
      <c r="K38" t="s">
        <v>29</v>
      </c>
      <c r="O38" t="s">
        <v>29</v>
      </c>
      <c r="P38" t="s">
        <v>218</v>
      </c>
      <c r="Q38" t="s">
        <v>124</v>
      </c>
      <c r="R38" t="s">
        <v>35</v>
      </c>
      <c r="S38" t="s">
        <v>36</v>
      </c>
      <c r="T38" t="s">
        <v>36</v>
      </c>
      <c r="U38" t="s">
        <v>36</v>
      </c>
      <c r="V38" t="s">
        <v>37</v>
      </c>
    </row>
    <row r="39" spans="1:27" ht="14.5">
      <c r="A39">
        <v>38</v>
      </c>
      <c r="B39" t="s">
        <v>219</v>
      </c>
      <c r="C39" t="s">
        <v>220</v>
      </c>
      <c r="D39" t="s">
        <v>221</v>
      </c>
      <c r="E39" t="s">
        <v>222</v>
      </c>
      <c r="F39" t="s">
        <v>223</v>
      </c>
      <c r="G39">
        <v>2007</v>
      </c>
      <c r="H39" t="s">
        <v>224</v>
      </c>
      <c r="I39" t="s">
        <v>29</v>
      </c>
      <c r="J39" t="s">
        <v>29</v>
      </c>
      <c r="K39" t="s">
        <v>29</v>
      </c>
      <c r="L39">
        <v>102</v>
      </c>
      <c r="M39">
        <v>107</v>
      </c>
      <c r="N39">
        <v>5</v>
      </c>
      <c r="O39" t="s">
        <v>29</v>
      </c>
      <c r="P39" t="s">
        <v>225</v>
      </c>
      <c r="Q39" t="s">
        <v>124</v>
      </c>
      <c r="R39" t="s">
        <v>35</v>
      </c>
      <c r="S39" t="s">
        <v>36</v>
      </c>
      <c r="T39" t="s">
        <v>37</v>
      </c>
    </row>
    <row r="40" spans="1:27" ht="14.5">
      <c r="A40">
        <v>39</v>
      </c>
      <c r="B40" t="s">
        <v>226</v>
      </c>
      <c r="C40" t="s">
        <v>227</v>
      </c>
      <c r="D40" t="s">
        <v>228</v>
      </c>
      <c r="E40" t="s">
        <v>229</v>
      </c>
      <c r="F40" t="s">
        <v>230</v>
      </c>
      <c r="G40">
        <v>2013</v>
      </c>
      <c r="H40" t="s">
        <v>231</v>
      </c>
      <c r="I40" t="s">
        <v>29</v>
      </c>
      <c r="J40" t="s">
        <v>29</v>
      </c>
      <c r="K40" t="s">
        <v>232</v>
      </c>
      <c r="L40">
        <v>676</v>
      </c>
      <c r="M40">
        <v>681</v>
      </c>
      <c r="N40">
        <v>5</v>
      </c>
      <c r="O40" t="s">
        <v>233</v>
      </c>
      <c r="P40" t="s">
        <v>234</v>
      </c>
      <c r="Q40" t="s">
        <v>124</v>
      </c>
      <c r="R40" t="s">
        <v>35</v>
      </c>
      <c r="S40" t="s">
        <v>36</v>
      </c>
      <c r="T40" t="s">
        <v>37</v>
      </c>
    </row>
    <row r="41" spans="1:27" ht="14.5">
      <c r="A41">
        <v>40</v>
      </c>
      <c r="B41" t="s">
        <v>235</v>
      </c>
      <c r="C41" t="s">
        <v>236</v>
      </c>
      <c r="D41" t="s">
        <v>237</v>
      </c>
      <c r="E41" t="s">
        <v>238</v>
      </c>
      <c r="F41" t="s">
        <v>239</v>
      </c>
      <c r="G41">
        <v>2018</v>
      </c>
      <c r="H41" t="s">
        <v>86</v>
      </c>
      <c r="I41" t="s">
        <v>29</v>
      </c>
      <c r="J41" t="s">
        <v>29</v>
      </c>
      <c r="K41" t="s">
        <v>29</v>
      </c>
      <c r="L41">
        <v>27</v>
      </c>
      <c r="M41">
        <v>30</v>
      </c>
      <c r="N41">
        <v>3</v>
      </c>
      <c r="O41" t="s">
        <v>240</v>
      </c>
      <c r="P41" t="s">
        <v>241</v>
      </c>
      <c r="Q41" t="s">
        <v>124</v>
      </c>
      <c r="R41" t="s">
        <v>35</v>
      </c>
      <c r="S41" t="s">
        <v>36</v>
      </c>
      <c r="T41" t="s">
        <v>37</v>
      </c>
    </row>
    <row r="42" spans="1:27" ht="14.5">
      <c r="A42">
        <v>41</v>
      </c>
      <c r="B42" t="s">
        <v>242</v>
      </c>
      <c r="C42" t="s">
        <v>243</v>
      </c>
      <c r="D42" t="s">
        <v>244</v>
      </c>
      <c r="E42" t="s">
        <v>245</v>
      </c>
      <c r="F42" t="s">
        <v>246</v>
      </c>
      <c r="G42">
        <v>2017</v>
      </c>
      <c r="H42" t="s">
        <v>247</v>
      </c>
      <c r="I42" t="s">
        <v>29</v>
      </c>
      <c r="J42" t="s">
        <v>29</v>
      </c>
      <c r="K42" t="s">
        <v>248</v>
      </c>
      <c r="L42">
        <v>26</v>
      </c>
      <c r="M42">
        <v>31</v>
      </c>
      <c r="N42">
        <v>5</v>
      </c>
      <c r="O42" t="s">
        <v>249</v>
      </c>
      <c r="P42" t="s">
        <v>250</v>
      </c>
      <c r="Q42" t="s">
        <v>124</v>
      </c>
      <c r="R42" t="s">
        <v>35</v>
      </c>
      <c r="S42" t="s">
        <v>36</v>
      </c>
      <c r="T42" t="s">
        <v>37</v>
      </c>
    </row>
    <row r="43" spans="1:27" ht="14.5">
      <c r="A43">
        <v>42</v>
      </c>
      <c r="B43" t="s">
        <v>251</v>
      </c>
      <c r="C43" t="s">
        <v>252</v>
      </c>
      <c r="D43" t="s">
        <v>253</v>
      </c>
      <c r="E43" t="s">
        <v>254</v>
      </c>
      <c r="F43" t="s">
        <v>255</v>
      </c>
      <c r="G43">
        <v>2013</v>
      </c>
      <c r="H43" t="s">
        <v>256</v>
      </c>
      <c r="I43" t="s">
        <v>29</v>
      </c>
      <c r="J43" t="s">
        <v>29</v>
      </c>
      <c r="K43" t="s">
        <v>257</v>
      </c>
      <c r="L43">
        <v>35</v>
      </c>
      <c r="M43">
        <v>44</v>
      </c>
      <c r="N43">
        <v>9</v>
      </c>
      <c r="O43" t="s">
        <v>258</v>
      </c>
      <c r="P43" t="s">
        <v>259</v>
      </c>
      <c r="Q43" t="s">
        <v>124</v>
      </c>
      <c r="R43" t="s">
        <v>35</v>
      </c>
      <c r="S43" t="s">
        <v>36</v>
      </c>
      <c r="T43" t="s">
        <v>37</v>
      </c>
    </row>
    <row r="44" spans="1:27" ht="14.5">
      <c r="A44">
        <v>43</v>
      </c>
      <c r="B44" t="s">
        <v>260</v>
      </c>
      <c r="C44" t="s">
        <v>261</v>
      </c>
      <c r="D44" t="s">
        <v>262</v>
      </c>
      <c r="E44" t="s">
        <v>263</v>
      </c>
      <c r="F44" t="s">
        <v>264</v>
      </c>
      <c r="G44">
        <v>2023</v>
      </c>
      <c r="H44" t="s">
        <v>265</v>
      </c>
      <c r="I44" t="s">
        <v>266</v>
      </c>
      <c r="J44" t="s">
        <v>29</v>
      </c>
      <c r="K44" t="s">
        <v>29</v>
      </c>
      <c r="L44">
        <v>135</v>
      </c>
      <c r="M44">
        <v>144</v>
      </c>
      <c r="N44">
        <v>9</v>
      </c>
      <c r="O44" t="s">
        <v>267</v>
      </c>
      <c r="P44" t="s">
        <v>268</v>
      </c>
      <c r="Q44" t="s">
        <v>124</v>
      </c>
      <c r="R44" t="s">
        <v>35</v>
      </c>
      <c r="S44" t="s">
        <v>36</v>
      </c>
      <c r="T44" t="s">
        <v>36</v>
      </c>
      <c r="U44" t="s">
        <v>36</v>
      </c>
      <c r="V44" t="s">
        <v>36</v>
      </c>
      <c r="W44" t="s">
        <v>36</v>
      </c>
      <c r="X44" t="s">
        <v>36</v>
      </c>
      <c r="Y44" t="s">
        <v>36</v>
      </c>
      <c r="Z44" t="s">
        <v>36</v>
      </c>
      <c r="AA44" t="s">
        <v>37</v>
      </c>
    </row>
    <row r="45" spans="1:27" ht="14.5">
      <c r="A45">
        <v>44</v>
      </c>
      <c r="B45" t="s">
        <v>269</v>
      </c>
      <c r="C45" t="s">
        <v>270</v>
      </c>
      <c r="D45" t="s">
        <v>271</v>
      </c>
      <c r="E45" t="s">
        <v>272</v>
      </c>
      <c r="F45" t="s">
        <v>273</v>
      </c>
      <c r="G45">
        <v>2018</v>
      </c>
      <c r="H45" t="s">
        <v>274</v>
      </c>
      <c r="I45" t="s">
        <v>29</v>
      </c>
      <c r="J45" t="s">
        <v>29</v>
      </c>
      <c r="K45" t="s">
        <v>275</v>
      </c>
      <c r="O45" t="s">
        <v>276</v>
      </c>
      <c r="P45" t="s">
        <v>277</v>
      </c>
      <c r="Q45" t="s">
        <v>124</v>
      </c>
      <c r="R45" t="s">
        <v>35</v>
      </c>
      <c r="S45" t="s">
        <v>36</v>
      </c>
      <c r="T45" t="s">
        <v>37</v>
      </c>
    </row>
    <row r="46" spans="1:27" ht="14.5">
      <c r="A46">
        <v>45</v>
      </c>
      <c r="B46" t="s">
        <v>278</v>
      </c>
      <c r="C46" t="s">
        <v>279</v>
      </c>
      <c r="D46" t="s">
        <v>280</v>
      </c>
      <c r="E46" t="s">
        <v>281</v>
      </c>
      <c r="F46" t="s">
        <v>282</v>
      </c>
      <c r="G46">
        <v>2003</v>
      </c>
      <c r="H46" t="s">
        <v>283</v>
      </c>
      <c r="I46" t="s">
        <v>29</v>
      </c>
      <c r="J46" t="s">
        <v>29</v>
      </c>
      <c r="K46" t="s">
        <v>29</v>
      </c>
      <c r="L46">
        <v>550</v>
      </c>
      <c r="M46">
        <v>556</v>
      </c>
      <c r="N46">
        <v>6</v>
      </c>
      <c r="O46" t="s">
        <v>29</v>
      </c>
      <c r="P46" t="s">
        <v>284</v>
      </c>
      <c r="Q46" t="s">
        <v>124</v>
      </c>
      <c r="R46" t="s">
        <v>35</v>
      </c>
      <c r="S46" t="s">
        <v>36</v>
      </c>
      <c r="T46" t="s">
        <v>37</v>
      </c>
    </row>
    <row r="47" spans="1:27" ht="14.5">
      <c r="A47">
        <v>46</v>
      </c>
      <c r="B47" t="s">
        <v>285</v>
      </c>
      <c r="C47" t="s">
        <v>286</v>
      </c>
      <c r="D47" t="s">
        <v>287</v>
      </c>
      <c r="E47" t="s">
        <v>288</v>
      </c>
      <c r="F47" t="s">
        <v>289</v>
      </c>
      <c r="G47">
        <v>2022</v>
      </c>
      <c r="H47" t="s">
        <v>67</v>
      </c>
      <c r="I47" t="s">
        <v>97</v>
      </c>
      <c r="J47" t="s">
        <v>29</v>
      </c>
      <c r="K47" t="s">
        <v>29</v>
      </c>
      <c r="O47" t="s">
        <v>29</v>
      </c>
      <c r="P47" t="s">
        <v>290</v>
      </c>
      <c r="Q47" t="s">
        <v>124</v>
      </c>
      <c r="R47" t="s">
        <v>35</v>
      </c>
      <c r="S47" t="s">
        <v>36</v>
      </c>
      <c r="T47" t="s">
        <v>36</v>
      </c>
      <c r="U47" t="s">
        <v>36</v>
      </c>
      <c r="V47" t="s">
        <v>37</v>
      </c>
    </row>
    <row r="48" spans="1:27" ht="14.5">
      <c r="A48">
        <v>47</v>
      </c>
      <c r="B48" t="s">
        <v>291</v>
      </c>
      <c r="C48" t="s">
        <v>292</v>
      </c>
      <c r="D48" t="s">
        <v>293</v>
      </c>
      <c r="E48" t="s">
        <v>294</v>
      </c>
      <c r="F48" t="s">
        <v>295</v>
      </c>
      <c r="G48">
        <v>2017</v>
      </c>
      <c r="H48" t="s">
        <v>296</v>
      </c>
      <c r="I48" t="s">
        <v>29</v>
      </c>
      <c r="J48" t="s">
        <v>29</v>
      </c>
      <c r="K48" t="s">
        <v>297</v>
      </c>
      <c r="L48">
        <v>182</v>
      </c>
      <c r="M48">
        <v>187</v>
      </c>
      <c r="N48">
        <v>5</v>
      </c>
      <c r="O48" t="s">
        <v>298</v>
      </c>
      <c r="P48" t="s">
        <v>299</v>
      </c>
      <c r="Q48" t="s">
        <v>124</v>
      </c>
      <c r="R48" t="s">
        <v>35</v>
      </c>
      <c r="S48" t="s">
        <v>36</v>
      </c>
      <c r="T48" t="s">
        <v>37</v>
      </c>
    </row>
    <row r="49" spans="1:27" ht="14.5">
      <c r="A49">
        <v>48</v>
      </c>
      <c r="B49" t="s">
        <v>300</v>
      </c>
      <c r="C49" t="s">
        <v>301</v>
      </c>
      <c r="D49" t="s">
        <v>302</v>
      </c>
      <c r="E49" t="s">
        <v>303</v>
      </c>
      <c r="F49" t="s">
        <v>304</v>
      </c>
      <c r="G49">
        <v>2024</v>
      </c>
      <c r="H49" t="s">
        <v>305</v>
      </c>
      <c r="I49" t="s">
        <v>306</v>
      </c>
      <c r="J49" t="s">
        <v>29</v>
      </c>
      <c r="K49" t="s">
        <v>307</v>
      </c>
      <c r="O49" t="s">
        <v>308</v>
      </c>
      <c r="P49" t="s">
        <v>309</v>
      </c>
      <c r="Q49" t="s">
        <v>157</v>
      </c>
      <c r="R49" t="s">
        <v>35</v>
      </c>
      <c r="S49" t="s">
        <v>36</v>
      </c>
      <c r="T49" t="s">
        <v>36</v>
      </c>
      <c r="U49" t="s">
        <v>36</v>
      </c>
      <c r="V49" t="s">
        <v>36</v>
      </c>
      <c r="W49" t="s">
        <v>36</v>
      </c>
      <c r="X49" t="s">
        <v>36</v>
      </c>
      <c r="Y49" t="s">
        <v>37</v>
      </c>
    </row>
    <row r="50" spans="1:27" ht="14.5">
      <c r="A50">
        <v>49</v>
      </c>
      <c r="B50" t="s">
        <v>300</v>
      </c>
      <c r="C50" t="s">
        <v>301</v>
      </c>
      <c r="E50" t="s">
        <v>303</v>
      </c>
      <c r="G50">
        <v>2023</v>
      </c>
      <c r="Q50" t="s">
        <v>310</v>
      </c>
      <c r="R50" t="s">
        <v>311</v>
      </c>
      <c r="S50" t="s">
        <v>37</v>
      </c>
    </row>
    <row r="51" spans="1:27" ht="14.5">
      <c r="A51">
        <v>50</v>
      </c>
      <c r="B51" t="s">
        <v>312</v>
      </c>
      <c r="C51" t="s">
        <v>313</v>
      </c>
      <c r="D51" t="s">
        <v>314</v>
      </c>
      <c r="E51" t="s">
        <v>315</v>
      </c>
      <c r="F51" t="s">
        <v>316</v>
      </c>
      <c r="G51">
        <v>2024</v>
      </c>
      <c r="H51" t="s">
        <v>41</v>
      </c>
      <c r="I51" t="s">
        <v>317</v>
      </c>
      <c r="J51" t="s">
        <v>29</v>
      </c>
      <c r="K51" t="s">
        <v>29</v>
      </c>
      <c r="L51">
        <v>355</v>
      </c>
      <c r="M51">
        <v>374</v>
      </c>
      <c r="N51">
        <v>19</v>
      </c>
      <c r="O51" t="s">
        <v>318</v>
      </c>
      <c r="P51" t="s">
        <v>319</v>
      </c>
      <c r="Q51" t="s">
        <v>124</v>
      </c>
      <c r="R51" t="s">
        <v>35</v>
      </c>
      <c r="S51" t="s">
        <v>36</v>
      </c>
      <c r="T51" t="s">
        <v>36</v>
      </c>
      <c r="U51" t="s">
        <v>36</v>
      </c>
      <c r="V51" t="s">
        <v>36</v>
      </c>
      <c r="W51" t="s">
        <v>36</v>
      </c>
      <c r="X51" t="s">
        <v>36</v>
      </c>
      <c r="Y51" t="s">
        <v>36</v>
      </c>
      <c r="Z51" t="s">
        <v>36</v>
      </c>
      <c r="AA51" t="s">
        <v>37</v>
      </c>
    </row>
    <row r="52" spans="1:27" ht="14.5">
      <c r="A52">
        <v>51</v>
      </c>
      <c r="B52" t="s">
        <v>320</v>
      </c>
      <c r="C52" t="s">
        <v>321</v>
      </c>
      <c r="D52" t="s">
        <v>322</v>
      </c>
      <c r="E52" t="s">
        <v>323</v>
      </c>
      <c r="F52" t="s">
        <v>324</v>
      </c>
      <c r="G52">
        <v>1999</v>
      </c>
      <c r="H52" t="s">
        <v>79</v>
      </c>
      <c r="I52" t="s">
        <v>29</v>
      </c>
      <c r="J52" t="s">
        <v>29</v>
      </c>
      <c r="K52" t="s">
        <v>29</v>
      </c>
      <c r="L52">
        <v>36</v>
      </c>
      <c r="M52">
        <v>43</v>
      </c>
      <c r="N52">
        <v>7</v>
      </c>
      <c r="O52" t="s">
        <v>29</v>
      </c>
      <c r="P52" t="s">
        <v>325</v>
      </c>
      <c r="Q52" t="s">
        <v>157</v>
      </c>
      <c r="R52" t="s">
        <v>35</v>
      </c>
      <c r="S52" t="s">
        <v>36</v>
      </c>
      <c r="T52" t="s">
        <v>37</v>
      </c>
    </row>
    <row r="53" spans="1:27" ht="14.5">
      <c r="A53">
        <v>52</v>
      </c>
      <c r="B53" t="s">
        <v>326</v>
      </c>
      <c r="C53" t="s">
        <v>327</v>
      </c>
      <c r="D53" t="s">
        <v>328</v>
      </c>
      <c r="E53" t="s">
        <v>329</v>
      </c>
      <c r="F53" t="s">
        <v>330</v>
      </c>
      <c r="G53">
        <v>2023</v>
      </c>
      <c r="H53" t="s">
        <v>331</v>
      </c>
      <c r="I53" t="s">
        <v>29</v>
      </c>
      <c r="J53" t="s">
        <v>29</v>
      </c>
      <c r="K53" t="s">
        <v>29</v>
      </c>
      <c r="L53">
        <v>49</v>
      </c>
      <c r="M53">
        <v>54</v>
      </c>
      <c r="N53">
        <v>5</v>
      </c>
      <c r="O53" t="s">
        <v>332</v>
      </c>
      <c r="P53" t="s">
        <v>333</v>
      </c>
      <c r="Q53" t="s">
        <v>124</v>
      </c>
      <c r="R53" t="s">
        <v>35</v>
      </c>
      <c r="S53" t="s">
        <v>36</v>
      </c>
      <c r="T53" t="s">
        <v>36</v>
      </c>
      <c r="U53" t="s">
        <v>36</v>
      </c>
      <c r="V53" t="s">
        <v>36</v>
      </c>
      <c r="W53" t="s">
        <v>36</v>
      </c>
      <c r="X53" t="s">
        <v>36</v>
      </c>
      <c r="Y53" t="s">
        <v>36</v>
      </c>
      <c r="Z53" t="s">
        <v>36</v>
      </c>
      <c r="AA53" t="s">
        <v>37</v>
      </c>
    </row>
    <row r="54" spans="1:27" s="42" customFormat="1" ht="14.5">
      <c r="A54" s="42">
        <v>53</v>
      </c>
      <c r="B54" s="42" t="s">
        <v>334</v>
      </c>
      <c r="C54" s="42" t="s">
        <v>335</v>
      </c>
      <c r="D54" s="42" t="s">
        <v>336</v>
      </c>
      <c r="E54" s="42" t="s">
        <v>337</v>
      </c>
      <c r="F54" s="42" t="s">
        <v>338</v>
      </c>
      <c r="G54" s="42">
        <v>2023</v>
      </c>
      <c r="H54" s="42" t="s">
        <v>79</v>
      </c>
      <c r="I54" s="42" t="s">
        <v>339</v>
      </c>
      <c r="J54" s="42" t="s">
        <v>29</v>
      </c>
      <c r="K54" s="42" t="s">
        <v>29</v>
      </c>
      <c r="L54" s="42">
        <v>212</v>
      </c>
      <c r="M54" s="42">
        <v>222</v>
      </c>
      <c r="N54" s="42">
        <v>10</v>
      </c>
      <c r="O54" s="42" t="s">
        <v>340</v>
      </c>
      <c r="P54" s="42" t="s">
        <v>341</v>
      </c>
      <c r="Q54" s="42" t="s">
        <v>124</v>
      </c>
      <c r="R54" s="42" t="s">
        <v>35</v>
      </c>
      <c r="S54" s="42" t="s">
        <v>36</v>
      </c>
      <c r="T54" s="42" t="s">
        <v>36</v>
      </c>
      <c r="U54" s="42" t="s">
        <v>36</v>
      </c>
      <c r="V54" s="42" t="s">
        <v>36</v>
      </c>
      <c r="W54" s="42" t="s">
        <v>36</v>
      </c>
      <c r="X54" s="42" t="s">
        <v>36</v>
      </c>
      <c r="Y54" s="42" t="s">
        <v>36</v>
      </c>
      <c r="Z54" s="42" t="s">
        <v>36</v>
      </c>
      <c r="AA54" s="42" t="s">
        <v>36</v>
      </c>
    </row>
    <row r="55" spans="1:27" ht="14.5">
      <c r="A55">
        <v>54</v>
      </c>
      <c r="B55" t="s">
        <v>342</v>
      </c>
      <c r="C55" t="s">
        <v>343</v>
      </c>
      <c r="D55" t="s">
        <v>344</v>
      </c>
      <c r="E55" t="s">
        <v>345</v>
      </c>
      <c r="F55" t="s">
        <v>346</v>
      </c>
      <c r="G55">
        <v>2021</v>
      </c>
      <c r="H55" t="s">
        <v>347</v>
      </c>
      <c r="I55" t="s">
        <v>29</v>
      </c>
      <c r="J55" t="s">
        <v>29</v>
      </c>
      <c r="K55" t="s">
        <v>29</v>
      </c>
      <c r="L55">
        <v>1312</v>
      </c>
      <c r="M55">
        <v>1320</v>
      </c>
      <c r="N55">
        <v>8</v>
      </c>
      <c r="O55" t="s">
        <v>348</v>
      </c>
      <c r="P55" t="s">
        <v>349</v>
      </c>
      <c r="Q55" t="s">
        <v>124</v>
      </c>
      <c r="R55" t="s">
        <v>35</v>
      </c>
      <c r="S55" t="s">
        <v>36</v>
      </c>
      <c r="T55" t="s">
        <v>36</v>
      </c>
      <c r="U55" t="s">
        <v>36</v>
      </c>
      <c r="V55" t="s">
        <v>36</v>
      </c>
      <c r="W55" t="s">
        <v>36</v>
      </c>
      <c r="X55" t="s">
        <v>36</v>
      </c>
      <c r="Y55" t="s">
        <v>36</v>
      </c>
      <c r="Z55" t="s">
        <v>36</v>
      </c>
      <c r="AA55" t="s">
        <v>37</v>
      </c>
    </row>
    <row r="56" spans="1:27" ht="14.5">
      <c r="A56">
        <v>55</v>
      </c>
      <c r="B56" t="s">
        <v>350</v>
      </c>
      <c r="C56" t="s">
        <v>351</v>
      </c>
      <c r="D56" t="s">
        <v>352</v>
      </c>
      <c r="E56" t="s">
        <v>353</v>
      </c>
      <c r="F56" t="s">
        <v>354</v>
      </c>
      <c r="G56">
        <v>2023</v>
      </c>
      <c r="H56" t="s">
        <v>67</v>
      </c>
      <c r="I56" t="s">
        <v>355</v>
      </c>
      <c r="J56" t="s">
        <v>29</v>
      </c>
      <c r="K56" t="s">
        <v>29</v>
      </c>
      <c r="O56" t="s">
        <v>29</v>
      </c>
      <c r="P56" t="s">
        <v>356</v>
      </c>
      <c r="Q56" t="s">
        <v>124</v>
      </c>
      <c r="R56" t="s">
        <v>35</v>
      </c>
      <c r="S56" t="s">
        <v>36</v>
      </c>
      <c r="T56" t="s">
        <v>36</v>
      </c>
      <c r="U56" t="s">
        <v>36</v>
      </c>
      <c r="V56" t="s">
        <v>37</v>
      </c>
    </row>
    <row r="57" spans="1:27" ht="14.5">
      <c r="A57">
        <v>56</v>
      </c>
      <c r="B57" t="s">
        <v>357</v>
      </c>
      <c r="C57" t="s">
        <v>358</v>
      </c>
      <c r="D57" t="s">
        <v>359</v>
      </c>
      <c r="E57" t="s">
        <v>360</v>
      </c>
      <c r="F57" t="s">
        <v>361</v>
      </c>
      <c r="G57">
        <v>2022</v>
      </c>
      <c r="H57" t="s">
        <v>362</v>
      </c>
      <c r="I57" t="s">
        <v>29</v>
      </c>
      <c r="J57" t="s">
        <v>29</v>
      </c>
      <c r="K57" t="s">
        <v>29</v>
      </c>
      <c r="L57">
        <v>22</v>
      </c>
      <c r="M57">
        <v>32</v>
      </c>
      <c r="N57">
        <v>10</v>
      </c>
      <c r="O57" t="s">
        <v>363</v>
      </c>
      <c r="P57" t="s">
        <v>364</v>
      </c>
      <c r="Q57" t="s">
        <v>124</v>
      </c>
      <c r="R57" t="s">
        <v>35</v>
      </c>
      <c r="S57" t="s">
        <v>36</v>
      </c>
      <c r="T57" t="s">
        <v>36</v>
      </c>
      <c r="U57" t="s">
        <v>36</v>
      </c>
      <c r="V57" t="s">
        <v>36</v>
      </c>
      <c r="W57" t="s">
        <v>36</v>
      </c>
      <c r="X57" t="s">
        <v>36</v>
      </c>
      <c r="Y57" t="s">
        <v>37</v>
      </c>
    </row>
    <row r="58" spans="1:27" ht="14.5">
      <c r="A58">
        <v>57</v>
      </c>
      <c r="B58" t="s">
        <v>365</v>
      </c>
      <c r="C58" t="s">
        <v>366</v>
      </c>
      <c r="E58" t="s">
        <v>360</v>
      </c>
      <c r="G58">
        <v>2022</v>
      </c>
      <c r="O58" t="s">
        <v>367</v>
      </c>
      <c r="P58" t="s">
        <v>368</v>
      </c>
      <c r="Q58" t="s">
        <v>310</v>
      </c>
      <c r="R58" t="s">
        <v>311</v>
      </c>
      <c r="S58" t="s">
        <v>37</v>
      </c>
    </row>
    <row r="59" spans="1:27" ht="14.5">
      <c r="A59">
        <v>58</v>
      </c>
      <c r="B59" t="s">
        <v>369</v>
      </c>
      <c r="C59" t="s">
        <v>370</v>
      </c>
      <c r="E59" t="s">
        <v>371</v>
      </c>
      <c r="F59" t="s">
        <v>372</v>
      </c>
      <c r="G59">
        <v>2021</v>
      </c>
      <c r="H59" t="s">
        <v>373</v>
      </c>
      <c r="O59" t="s">
        <v>374</v>
      </c>
      <c r="P59" t="s">
        <v>375</v>
      </c>
      <c r="Q59" t="s">
        <v>310</v>
      </c>
      <c r="R59" t="s">
        <v>311</v>
      </c>
      <c r="S59" t="s">
        <v>36</v>
      </c>
      <c r="T59" t="s">
        <v>36</v>
      </c>
      <c r="U59" t="s">
        <v>37</v>
      </c>
    </row>
    <row r="60" spans="1:27" ht="14.5">
      <c r="A60">
        <v>59</v>
      </c>
      <c r="B60" t="s">
        <v>376</v>
      </c>
      <c r="C60" t="s">
        <v>377</v>
      </c>
      <c r="D60" t="s">
        <v>378</v>
      </c>
      <c r="E60" t="s">
        <v>379</v>
      </c>
      <c r="F60" t="s">
        <v>380</v>
      </c>
      <c r="G60">
        <v>2016</v>
      </c>
      <c r="H60" t="s">
        <v>67</v>
      </c>
      <c r="I60" t="s">
        <v>381</v>
      </c>
      <c r="J60" t="s">
        <v>29</v>
      </c>
      <c r="K60" t="s">
        <v>29</v>
      </c>
      <c r="O60" t="s">
        <v>29</v>
      </c>
      <c r="P60" t="s">
        <v>382</v>
      </c>
      <c r="Q60" t="s">
        <v>124</v>
      </c>
      <c r="R60" t="s">
        <v>35</v>
      </c>
      <c r="S60" t="s">
        <v>36</v>
      </c>
      <c r="T60" t="s">
        <v>37</v>
      </c>
    </row>
    <row r="61" spans="1:27" ht="14.5">
      <c r="A61">
        <v>60</v>
      </c>
      <c r="B61" t="s">
        <v>383</v>
      </c>
      <c r="C61" t="s">
        <v>384</v>
      </c>
      <c r="D61" t="s">
        <v>385</v>
      </c>
      <c r="E61" t="s">
        <v>386</v>
      </c>
      <c r="F61" t="s">
        <v>387</v>
      </c>
      <c r="G61">
        <v>2007</v>
      </c>
      <c r="H61" t="s">
        <v>41</v>
      </c>
      <c r="I61" t="s">
        <v>106</v>
      </c>
      <c r="J61" t="s">
        <v>29</v>
      </c>
      <c r="K61" t="s">
        <v>29</v>
      </c>
      <c r="L61">
        <v>203</v>
      </c>
      <c r="M61">
        <v>217</v>
      </c>
      <c r="N61">
        <v>14</v>
      </c>
      <c r="O61" t="s">
        <v>388</v>
      </c>
      <c r="P61" t="s">
        <v>389</v>
      </c>
      <c r="Q61" t="s">
        <v>124</v>
      </c>
      <c r="R61" t="s">
        <v>35</v>
      </c>
      <c r="S61" t="s">
        <v>36</v>
      </c>
      <c r="T61" t="s">
        <v>37</v>
      </c>
    </row>
    <row r="62" spans="1:27" ht="14.5">
      <c r="A62">
        <v>61</v>
      </c>
      <c r="B62" t="s">
        <v>390</v>
      </c>
      <c r="C62" t="s">
        <v>391</v>
      </c>
      <c r="D62" t="s">
        <v>392</v>
      </c>
      <c r="E62" t="s">
        <v>393</v>
      </c>
      <c r="F62" t="s">
        <v>394</v>
      </c>
      <c r="G62">
        <v>2010</v>
      </c>
      <c r="H62" t="s">
        <v>347</v>
      </c>
      <c r="I62" t="s">
        <v>29</v>
      </c>
      <c r="J62" t="s">
        <v>29</v>
      </c>
      <c r="K62" t="s">
        <v>29</v>
      </c>
      <c r="L62">
        <v>281</v>
      </c>
      <c r="M62">
        <v>286</v>
      </c>
      <c r="N62">
        <v>5</v>
      </c>
      <c r="O62" t="s">
        <v>395</v>
      </c>
      <c r="P62" t="s">
        <v>396</v>
      </c>
      <c r="Q62" t="s">
        <v>124</v>
      </c>
      <c r="R62" t="s">
        <v>35</v>
      </c>
      <c r="S62" t="s">
        <v>36</v>
      </c>
      <c r="T62" t="s">
        <v>37</v>
      </c>
    </row>
    <row r="63" spans="1:27" ht="14.5">
      <c r="A63">
        <v>62</v>
      </c>
      <c r="B63" t="s">
        <v>397</v>
      </c>
      <c r="C63" t="s">
        <v>398</v>
      </c>
      <c r="D63" t="s">
        <v>399</v>
      </c>
      <c r="E63" t="s">
        <v>400</v>
      </c>
      <c r="F63" t="s">
        <v>401</v>
      </c>
      <c r="G63">
        <v>2021</v>
      </c>
      <c r="H63" t="s">
        <v>79</v>
      </c>
      <c r="I63" t="s">
        <v>29</v>
      </c>
      <c r="J63" t="s">
        <v>29</v>
      </c>
      <c r="K63" t="s">
        <v>29</v>
      </c>
      <c r="L63">
        <v>390</v>
      </c>
      <c r="M63">
        <v>395</v>
      </c>
      <c r="N63">
        <v>5</v>
      </c>
      <c r="O63" t="s">
        <v>402</v>
      </c>
      <c r="P63" t="s">
        <v>403</v>
      </c>
      <c r="Q63" t="s">
        <v>124</v>
      </c>
      <c r="R63" t="s">
        <v>35</v>
      </c>
      <c r="S63" t="s">
        <v>36</v>
      </c>
      <c r="T63" t="s">
        <v>36</v>
      </c>
      <c r="U63" t="s">
        <v>36</v>
      </c>
      <c r="V63" t="s">
        <v>36</v>
      </c>
      <c r="W63" t="s">
        <v>36</v>
      </c>
      <c r="X63" t="s">
        <v>36</v>
      </c>
      <c r="Y63" t="s">
        <v>36</v>
      </c>
      <c r="Z63" t="s">
        <v>36</v>
      </c>
      <c r="AA63" t="s">
        <v>37</v>
      </c>
    </row>
    <row r="64" spans="1:27" ht="14.5">
      <c r="A64">
        <v>63</v>
      </c>
      <c r="B64" t="s">
        <v>404</v>
      </c>
      <c r="C64" t="s">
        <v>405</v>
      </c>
      <c r="D64" t="s">
        <v>406</v>
      </c>
      <c r="E64" t="s">
        <v>407</v>
      </c>
      <c r="F64" t="s">
        <v>408</v>
      </c>
      <c r="G64">
        <v>2014</v>
      </c>
      <c r="H64" t="s">
        <v>409</v>
      </c>
      <c r="I64" t="s">
        <v>74</v>
      </c>
      <c r="J64" t="s">
        <v>165</v>
      </c>
      <c r="K64" t="s">
        <v>29</v>
      </c>
      <c r="L64">
        <v>77</v>
      </c>
      <c r="M64">
        <v>91</v>
      </c>
      <c r="N64">
        <v>14</v>
      </c>
      <c r="O64" t="s">
        <v>410</v>
      </c>
      <c r="P64" t="s">
        <v>411</v>
      </c>
      <c r="Q64" t="s">
        <v>157</v>
      </c>
      <c r="R64" t="s">
        <v>35</v>
      </c>
      <c r="S64" t="s">
        <v>36</v>
      </c>
      <c r="T64" t="s">
        <v>37</v>
      </c>
    </row>
    <row r="65" spans="1:27" s="42" customFormat="1" ht="14.5">
      <c r="A65" s="42">
        <v>64</v>
      </c>
      <c r="B65" s="42" t="s">
        <v>412</v>
      </c>
      <c r="C65" s="42" t="s">
        <v>413</v>
      </c>
      <c r="D65" s="42" t="s">
        <v>414</v>
      </c>
      <c r="E65" s="42" t="s">
        <v>415</v>
      </c>
      <c r="F65" s="42" t="s">
        <v>416</v>
      </c>
      <c r="G65" s="42">
        <v>2019</v>
      </c>
      <c r="H65" s="42" t="s">
        <v>67</v>
      </c>
      <c r="I65" s="42" t="s">
        <v>417</v>
      </c>
      <c r="J65" s="42" t="s">
        <v>29</v>
      </c>
      <c r="K65" s="42" t="s">
        <v>29</v>
      </c>
      <c r="O65" s="42" t="s">
        <v>29</v>
      </c>
      <c r="P65" s="42" t="s">
        <v>418</v>
      </c>
      <c r="Q65" s="42" t="s">
        <v>124</v>
      </c>
      <c r="R65" s="42" t="s">
        <v>35</v>
      </c>
      <c r="S65" s="42" t="s">
        <v>36</v>
      </c>
      <c r="T65" s="42" t="s">
        <v>36</v>
      </c>
      <c r="U65" s="42" t="s">
        <v>36</v>
      </c>
      <c r="V65" s="42" t="s">
        <v>36</v>
      </c>
      <c r="W65" s="42" t="s">
        <v>36</v>
      </c>
      <c r="X65" s="42" t="s">
        <v>36</v>
      </c>
      <c r="Y65" s="42" t="s">
        <v>36</v>
      </c>
      <c r="Z65" s="42" t="s">
        <v>36</v>
      </c>
      <c r="AA65" s="42" t="s">
        <v>36</v>
      </c>
    </row>
    <row r="66" spans="1:27" ht="14.5">
      <c r="A66">
        <v>65</v>
      </c>
      <c r="B66" t="s">
        <v>419</v>
      </c>
      <c r="C66" t="s">
        <v>420</v>
      </c>
      <c r="D66" t="s">
        <v>421</v>
      </c>
      <c r="E66" t="s">
        <v>422</v>
      </c>
      <c r="F66" t="s">
        <v>423</v>
      </c>
      <c r="G66">
        <v>2020</v>
      </c>
      <c r="H66" t="s">
        <v>424</v>
      </c>
      <c r="I66" t="s">
        <v>29</v>
      </c>
      <c r="J66" t="s">
        <v>29</v>
      </c>
      <c r="K66" t="s">
        <v>425</v>
      </c>
      <c r="L66">
        <v>61</v>
      </c>
      <c r="M66">
        <v>69</v>
      </c>
      <c r="N66">
        <v>8</v>
      </c>
      <c r="O66" t="s">
        <v>426</v>
      </c>
      <c r="P66" t="s">
        <v>427</v>
      </c>
      <c r="Q66" t="s">
        <v>124</v>
      </c>
      <c r="R66" t="s">
        <v>35</v>
      </c>
      <c r="S66" t="s">
        <v>36</v>
      </c>
      <c r="T66" t="s">
        <v>36</v>
      </c>
      <c r="U66" t="s">
        <v>36</v>
      </c>
      <c r="V66" t="s">
        <v>36</v>
      </c>
      <c r="W66" t="s">
        <v>36</v>
      </c>
      <c r="X66" t="s">
        <v>36</v>
      </c>
      <c r="Y66" t="s">
        <v>36</v>
      </c>
      <c r="Z66" t="s">
        <v>36</v>
      </c>
      <c r="AA66" t="s">
        <v>37</v>
      </c>
    </row>
    <row r="67" spans="1:27" ht="14.5">
      <c r="A67">
        <v>66</v>
      </c>
      <c r="B67" t="s">
        <v>428</v>
      </c>
      <c r="C67" t="s">
        <v>429</v>
      </c>
      <c r="D67" t="s">
        <v>430</v>
      </c>
      <c r="E67" t="s">
        <v>431</v>
      </c>
      <c r="F67" t="s">
        <v>432</v>
      </c>
      <c r="G67">
        <v>2010</v>
      </c>
      <c r="H67" t="s">
        <v>433</v>
      </c>
      <c r="I67" t="s">
        <v>165</v>
      </c>
      <c r="J67" t="s">
        <v>29</v>
      </c>
      <c r="K67" t="s">
        <v>29</v>
      </c>
      <c r="L67">
        <v>875</v>
      </c>
      <c r="M67">
        <v>884</v>
      </c>
      <c r="N67">
        <v>9</v>
      </c>
      <c r="O67" t="s">
        <v>29</v>
      </c>
      <c r="P67" t="s">
        <v>434</v>
      </c>
      <c r="Q67" t="s">
        <v>124</v>
      </c>
      <c r="R67" t="s">
        <v>35</v>
      </c>
      <c r="S67" t="s">
        <v>36</v>
      </c>
      <c r="T67" t="s">
        <v>37</v>
      </c>
    </row>
    <row r="68" spans="1:27" ht="14.5">
      <c r="A68">
        <v>67</v>
      </c>
      <c r="B68" t="s">
        <v>435</v>
      </c>
      <c r="C68" t="s">
        <v>436</v>
      </c>
      <c r="D68" t="s">
        <v>437</v>
      </c>
      <c r="E68" t="s">
        <v>438</v>
      </c>
      <c r="F68" t="s">
        <v>439</v>
      </c>
      <c r="G68">
        <v>2023</v>
      </c>
      <c r="H68" t="s">
        <v>440</v>
      </c>
      <c r="I68" t="s">
        <v>29</v>
      </c>
      <c r="J68" t="s">
        <v>29</v>
      </c>
      <c r="K68" t="s">
        <v>29</v>
      </c>
      <c r="L68">
        <v>52</v>
      </c>
      <c r="M68">
        <v>57</v>
      </c>
      <c r="N68">
        <v>5</v>
      </c>
      <c r="O68" t="s">
        <v>441</v>
      </c>
      <c r="P68" t="s">
        <v>442</v>
      </c>
      <c r="Q68" t="s">
        <v>124</v>
      </c>
      <c r="R68" t="s">
        <v>35</v>
      </c>
      <c r="S68" t="s">
        <v>36</v>
      </c>
      <c r="T68" t="s">
        <v>36</v>
      </c>
      <c r="U68" t="s">
        <v>36</v>
      </c>
      <c r="V68" t="s">
        <v>36</v>
      </c>
      <c r="W68" t="s">
        <v>36</v>
      </c>
      <c r="X68" t="s">
        <v>36</v>
      </c>
      <c r="Y68" t="s">
        <v>36</v>
      </c>
      <c r="Z68" t="s">
        <v>36</v>
      </c>
      <c r="AA68" t="s">
        <v>37</v>
      </c>
    </row>
    <row r="69" spans="1:27" ht="14.5">
      <c r="A69">
        <v>68</v>
      </c>
      <c r="B69" t="s">
        <v>443</v>
      </c>
      <c r="C69" t="s">
        <v>444</v>
      </c>
      <c r="D69" t="s">
        <v>445</v>
      </c>
      <c r="E69" t="s">
        <v>446</v>
      </c>
      <c r="F69" t="s">
        <v>447</v>
      </c>
      <c r="G69">
        <v>2019</v>
      </c>
      <c r="H69" t="s">
        <v>448</v>
      </c>
      <c r="I69" t="s">
        <v>29</v>
      </c>
      <c r="J69" t="s">
        <v>29</v>
      </c>
      <c r="K69" t="s">
        <v>449</v>
      </c>
      <c r="L69">
        <v>260</v>
      </c>
      <c r="M69">
        <v>267</v>
      </c>
      <c r="N69">
        <v>7</v>
      </c>
      <c r="O69" t="s">
        <v>450</v>
      </c>
      <c r="P69" t="s">
        <v>451</v>
      </c>
      <c r="Q69" t="s">
        <v>124</v>
      </c>
      <c r="R69" t="s">
        <v>35</v>
      </c>
      <c r="S69" t="s">
        <v>36</v>
      </c>
      <c r="T69" t="s">
        <v>36</v>
      </c>
      <c r="U69" t="s">
        <v>36</v>
      </c>
      <c r="V69" t="s">
        <v>36</v>
      </c>
      <c r="W69" t="s">
        <v>36</v>
      </c>
      <c r="X69" t="s">
        <v>36</v>
      </c>
      <c r="Y69" t="s">
        <v>36</v>
      </c>
      <c r="Z69" t="s">
        <v>36</v>
      </c>
      <c r="AA69" t="s">
        <v>37</v>
      </c>
    </row>
    <row r="70" spans="1:27" ht="14.5">
      <c r="A70">
        <v>69</v>
      </c>
      <c r="B70" t="s">
        <v>452</v>
      </c>
      <c r="C70" t="s">
        <v>453</v>
      </c>
      <c r="E70" t="s">
        <v>454</v>
      </c>
      <c r="G70">
        <v>2019</v>
      </c>
      <c r="H70" t="s">
        <v>455</v>
      </c>
      <c r="O70" t="s">
        <v>456</v>
      </c>
      <c r="P70" t="s">
        <v>457</v>
      </c>
      <c r="Q70" t="s">
        <v>310</v>
      </c>
      <c r="R70" t="s">
        <v>311</v>
      </c>
      <c r="S70" t="s">
        <v>37</v>
      </c>
    </row>
    <row r="71" spans="1:27" ht="14.5">
      <c r="A71">
        <v>70</v>
      </c>
      <c r="B71" t="s">
        <v>458</v>
      </c>
      <c r="C71" t="s">
        <v>459</v>
      </c>
      <c r="D71" t="s">
        <v>460</v>
      </c>
      <c r="E71" t="s">
        <v>461</v>
      </c>
      <c r="F71" t="s">
        <v>462</v>
      </c>
      <c r="G71">
        <v>2022</v>
      </c>
      <c r="H71" t="s">
        <v>41</v>
      </c>
      <c r="I71" t="s">
        <v>48</v>
      </c>
      <c r="J71" t="s">
        <v>29</v>
      </c>
      <c r="K71" t="s">
        <v>29</v>
      </c>
      <c r="L71">
        <v>79</v>
      </c>
      <c r="M71">
        <v>86</v>
      </c>
      <c r="N71">
        <v>7</v>
      </c>
      <c r="O71" t="s">
        <v>463</v>
      </c>
      <c r="P71" t="s">
        <v>464</v>
      </c>
      <c r="Q71" t="s">
        <v>124</v>
      </c>
      <c r="R71" t="s">
        <v>35</v>
      </c>
      <c r="S71" t="s">
        <v>36</v>
      </c>
      <c r="T71" t="s">
        <v>36</v>
      </c>
      <c r="U71" t="s">
        <v>36</v>
      </c>
      <c r="V71" t="s">
        <v>36</v>
      </c>
      <c r="W71" t="s">
        <v>36</v>
      </c>
      <c r="X71" t="s">
        <v>36</v>
      </c>
      <c r="Y71" t="s">
        <v>36</v>
      </c>
      <c r="Z71" t="s">
        <v>36</v>
      </c>
      <c r="AA71" t="s">
        <v>37</v>
      </c>
    </row>
    <row r="72" spans="1:27" ht="14.5">
      <c r="A72">
        <v>71</v>
      </c>
      <c r="B72" t="s">
        <v>465</v>
      </c>
      <c r="C72" t="s">
        <v>466</v>
      </c>
      <c r="E72" t="s">
        <v>467</v>
      </c>
      <c r="F72" t="s">
        <v>468</v>
      </c>
      <c r="G72">
        <v>2024</v>
      </c>
      <c r="O72" t="s">
        <v>469</v>
      </c>
      <c r="P72" t="s">
        <v>470</v>
      </c>
      <c r="Q72" t="s">
        <v>310</v>
      </c>
      <c r="R72" t="s">
        <v>311</v>
      </c>
      <c r="S72" t="s">
        <v>36</v>
      </c>
      <c r="T72" t="s">
        <v>36</v>
      </c>
      <c r="U72" t="s">
        <v>37</v>
      </c>
    </row>
    <row r="73" spans="1:27" ht="14.5">
      <c r="A73">
        <v>72</v>
      </c>
      <c r="B73" t="s">
        <v>471</v>
      </c>
      <c r="C73" t="s">
        <v>472</v>
      </c>
      <c r="D73" t="s">
        <v>473</v>
      </c>
      <c r="E73" t="s">
        <v>474</v>
      </c>
      <c r="F73" t="s">
        <v>475</v>
      </c>
      <c r="G73">
        <v>2007</v>
      </c>
      <c r="H73" t="s">
        <v>41</v>
      </c>
      <c r="I73" t="s">
        <v>476</v>
      </c>
      <c r="J73" t="s">
        <v>29</v>
      </c>
      <c r="K73" t="s">
        <v>29</v>
      </c>
      <c r="L73">
        <v>424</v>
      </c>
      <c r="M73">
        <v>437</v>
      </c>
      <c r="N73">
        <v>13</v>
      </c>
      <c r="O73" t="s">
        <v>477</v>
      </c>
      <c r="P73" t="s">
        <v>478</v>
      </c>
      <c r="Q73" t="s">
        <v>124</v>
      </c>
      <c r="R73" t="s">
        <v>35</v>
      </c>
      <c r="S73" t="s">
        <v>36</v>
      </c>
      <c r="T73" t="s">
        <v>37</v>
      </c>
    </row>
    <row r="74" spans="1:27" ht="14.5">
      <c r="A74">
        <v>73</v>
      </c>
      <c r="B74" t="s">
        <v>479</v>
      </c>
      <c r="C74" t="s">
        <v>480</v>
      </c>
      <c r="D74" t="s">
        <v>481</v>
      </c>
      <c r="E74" t="s">
        <v>482</v>
      </c>
      <c r="F74" t="s">
        <v>483</v>
      </c>
      <c r="G74">
        <v>2022</v>
      </c>
      <c r="H74" t="s">
        <v>484</v>
      </c>
      <c r="I74" t="s">
        <v>485</v>
      </c>
      <c r="J74" t="s">
        <v>486</v>
      </c>
      <c r="K74" t="s">
        <v>29</v>
      </c>
      <c r="L74">
        <v>1136</v>
      </c>
      <c r="M74">
        <v>1168</v>
      </c>
      <c r="N74">
        <v>32</v>
      </c>
      <c r="O74" t="s">
        <v>487</v>
      </c>
      <c r="P74" t="s">
        <v>488</v>
      </c>
      <c r="Q74" t="s">
        <v>157</v>
      </c>
      <c r="R74" t="s">
        <v>35</v>
      </c>
      <c r="S74" t="s">
        <v>36</v>
      </c>
      <c r="T74" t="s">
        <v>36</v>
      </c>
      <c r="U74" t="s">
        <v>36</v>
      </c>
      <c r="V74" t="s">
        <v>37</v>
      </c>
    </row>
    <row r="75" spans="1:27" s="42" customFormat="1" ht="14.5">
      <c r="A75" s="42">
        <v>74</v>
      </c>
      <c r="B75" s="42" t="s">
        <v>489</v>
      </c>
      <c r="C75" s="42" t="s">
        <v>490</v>
      </c>
      <c r="D75" s="42" t="s">
        <v>491</v>
      </c>
      <c r="E75" s="42" t="s">
        <v>492</v>
      </c>
      <c r="F75" s="42" t="s">
        <v>493</v>
      </c>
      <c r="G75" s="42">
        <v>2023</v>
      </c>
      <c r="H75" s="42" t="s">
        <v>41</v>
      </c>
      <c r="I75" s="42" t="s">
        <v>494</v>
      </c>
      <c r="J75" s="42" t="s">
        <v>29</v>
      </c>
      <c r="K75" s="42" t="s">
        <v>29</v>
      </c>
      <c r="L75" s="42">
        <v>383</v>
      </c>
      <c r="M75" s="42">
        <v>396</v>
      </c>
      <c r="N75" s="42">
        <v>13</v>
      </c>
      <c r="O75" s="42" t="s">
        <v>495</v>
      </c>
      <c r="P75" s="42" t="s">
        <v>496</v>
      </c>
      <c r="Q75" s="42" t="s">
        <v>124</v>
      </c>
      <c r="R75" s="42" t="s">
        <v>35</v>
      </c>
      <c r="S75" s="42" t="s">
        <v>36</v>
      </c>
      <c r="T75" s="42" t="s">
        <v>36</v>
      </c>
      <c r="U75" s="42" t="s">
        <v>36</v>
      </c>
      <c r="V75" s="42" t="s">
        <v>36</v>
      </c>
      <c r="W75" s="42" t="s">
        <v>36</v>
      </c>
      <c r="X75" s="42" t="s">
        <v>36</v>
      </c>
      <c r="Y75" s="42" t="s">
        <v>36</v>
      </c>
      <c r="Z75" s="42" t="s">
        <v>36</v>
      </c>
      <c r="AA75" s="42" t="s">
        <v>36</v>
      </c>
    </row>
    <row r="76" spans="1:27" ht="14.5">
      <c r="A76">
        <v>75</v>
      </c>
      <c r="B76" t="s">
        <v>497</v>
      </c>
      <c r="C76" t="s">
        <v>498</v>
      </c>
      <c r="E76" t="s">
        <v>499</v>
      </c>
      <c r="G76">
        <v>2023</v>
      </c>
      <c r="O76" t="s">
        <v>500</v>
      </c>
      <c r="P76" t="s">
        <v>501</v>
      </c>
      <c r="Q76" t="s">
        <v>310</v>
      </c>
      <c r="R76" t="s">
        <v>311</v>
      </c>
      <c r="S76" t="s">
        <v>37</v>
      </c>
    </row>
    <row r="77" spans="1:27" ht="14.5">
      <c r="A77">
        <v>76</v>
      </c>
      <c r="B77" t="s">
        <v>502</v>
      </c>
      <c r="C77" t="s">
        <v>503</v>
      </c>
      <c r="D77" t="s">
        <v>504</v>
      </c>
      <c r="E77" t="s">
        <v>505</v>
      </c>
      <c r="F77" t="s">
        <v>506</v>
      </c>
      <c r="G77">
        <v>2000</v>
      </c>
      <c r="H77" t="s">
        <v>507</v>
      </c>
      <c r="I77" t="s">
        <v>508</v>
      </c>
      <c r="J77" t="s">
        <v>509</v>
      </c>
      <c r="K77" t="s">
        <v>29</v>
      </c>
      <c r="L77">
        <v>245</v>
      </c>
      <c r="M77">
        <v>267</v>
      </c>
      <c r="N77">
        <v>22</v>
      </c>
      <c r="O77" t="s">
        <v>510</v>
      </c>
      <c r="P77" t="s">
        <v>511</v>
      </c>
      <c r="Q77" t="s">
        <v>157</v>
      </c>
      <c r="R77" t="s">
        <v>35</v>
      </c>
      <c r="S77" t="s">
        <v>36</v>
      </c>
      <c r="T77" t="s">
        <v>37</v>
      </c>
    </row>
    <row r="78" spans="1:27" ht="14.5">
      <c r="A78">
        <v>77</v>
      </c>
      <c r="B78" t="s">
        <v>512</v>
      </c>
      <c r="C78" t="s">
        <v>513</v>
      </c>
      <c r="D78" t="s">
        <v>514</v>
      </c>
      <c r="E78" t="s">
        <v>515</v>
      </c>
      <c r="F78" t="s">
        <v>516</v>
      </c>
      <c r="G78">
        <v>2024</v>
      </c>
      <c r="H78" t="s">
        <v>517</v>
      </c>
      <c r="I78" t="s">
        <v>518</v>
      </c>
      <c r="J78" t="s">
        <v>165</v>
      </c>
      <c r="K78" t="s">
        <v>29</v>
      </c>
      <c r="L78">
        <v>319</v>
      </c>
      <c r="M78">
        <v>328</v>
      </c>
      <c r="N78">
        <v>9</v>
      </c>
      <c r="O78" t="s">
        <v>29</v>
      </c>
      <c r="P78" t="s">
        <v>519</v>
      </c>
      <c r="Q78" t="s">
        <v>157</v>
      </c>
      <c r="R78" t="s">
        <v>35</v>
      </c>
      <c r="S78" t="s">
        <v>36</v>
      </c>
      <c r="T78" t="s">
        <v>36</v>
      </c>
      <c r="U78" t="s">
        <v>36</v>
      </c>
      <c r="V78" t="s">
        <v>36</v>
      </c>
      <c r="W78" t="s">
        <v>36</v>
      </c>
      <c r="X78" t="s">
        <v>36</v>
      </c>
      <c r="Y78" t="s">
        <v>36</v>
      </c>
      <c r="Z78" t="s">
        <v>37</v>
      </c>
    </row>
    <row r="79" spans="1:27" ht="14.5">
      <c r="A79">
        <v>78</v>
      </c>
      <c r="B79" t="s">
        <v>520</v>
      </c>
      <c r="C79" t="s">
        <v>521</v>
      </c>
      <c r="D79" t="s">
        <v>522</v>
      </c>
      <c r="E79" t="s">
        <v>523</v>
      </c>
      <c r="F79" t="s">
        <v>524</v>
      </c>
      <c r="G79">
        <v>2021</v>
      </c>
      <c r="H79" t="s">
        <v>525</v>
      </c>
      <c r="I79" t="s">
        <v>526</v>
      </c>
      <c r="J79" t="s">
        <v>29</v>
      </c>
      <c r="K79" t="s">
        <v>29</v>
      </c>
      <c r="L79">
        <v>143506</v>
      </c>
      <c r="M79">
        <v>143530</v>
      </c>
      <c r="N79">
        <v>24</v>
      </c>
      <c r="O79" t="s">
        <v>527</v>
      </c>
      <c r="P79" t="s">
        <v>528</v>
      </c>
      <c r="Q79" t="s">
        <v>157</v>
      </c>
      <c r="R79" t="s">
        <v>35</v>
      </c>
      <c r="S79" t="s">
        <v>36</v>
      </c>
      <c r="T79" t="s">
        <v>36</v>
      </c>
      <c r="U79" t="s">
        <v>36</v>
      </c>
      <c r="V79" t="s">
        <v>36</v>
      </c>
      <c r="W79" t="s">
        <v>36</v>
      </c>
      <c r="X79" t="s">
        <v>36</v>
      </c>
      <c r="Y79" t="s">
        <v>36</v>
      </c>
      <c r="Z79" t="s">
        <v>37</v>
      </c>
    </row>
    <row r="80" spans="1:27" ht="14.5">
      <c r="A80">
        <v>79</v>
      </c>
      <c r="B80" t="s">
        <v>529</v>
      </c>
      <c r="C80" t="s">
        <v>530</v>
      </c>
      <c r="D80" t="s">
        <v>531</v>
      </c>
      <c r="E80" t="s">
        <v>532</v>
      </c>
      <c r="F80" t="s">
        <v>533</v>
      </c>
      <c r="G80">
        <v>2021</v>
      </c>
      <c r="H80" t="s">
        <v>79</v>
      </c>
      <c r="I80" t="s">
        <v>29</v>
      </c>
      <c r="J80" t="s">
        <v>29</v>
      </c>
      <c r="K80" t="s">
        <v>29</v>
      </c>
      <c r="L80">
        <v>504</v>
      </c>
      <c r="M80">
        <v>505</v>
      </c>
      <c r="N80">
        <v>1</v>
      </c>
      <c r="O80" t="s">
        <v>534</v>
      </c>
      <c r="P80" t="s">
        <v>535</v>
      </c>
      <c r="Q80" t="s">
        <v>124</v>
      </c>
      <c r="R80" t="s">
        <v>35</v>
      </c>
      <c r="S80" t="s">
        <v>36</v>
      </c>
      <c r="T80" t="s">
        <v>36</v>
      </c>
      <c r="U80" t="s">
        <v>36</v>
      </c>
      <c r="V80" t="s">
        <v>36</v>
      </c>
      <c r="W80" t="s">
        <v>36</v>
      </c>
      <c r="X80" t="s">
        <v>37</v>
      </c>
    </row>
    <row r="81" spans="1:27" ht="14.5">
      <c r="A81">
        <v>80</v>
      </c>
      <c r="B81" t="s">
        <v>536</v>
      </c>
      <c r="C81" t="s">
        <v>537</v>
      </c>
      <c r="D81" t="s">
        <v>538</v>
      </c>
      <c r="E81" t="s">
        <v>539</v>
      </c>
      <c r="F81" t="s">
        <v>540</v>
      </c>
      <c r="G81">
        <v>2018</v>
      </c>
      <c r="H81" t="s">
        <v>41</v>
      </c>
      <c r="I81" t="s">
        <v>45</v>
      </c>
      <c r="J81" t="s">
        <v>29</v>
      </c>
      <c r="K81" t="s">
        <v>29</v>
      </c>
      <c r="L81">
        <v>119</v>
      </c>
      <c r="M81">
        <v>135</v>
      </c>
      <c r="N81">
        <v>16</v>
      </c>
      <c r="O81" t="s">
        <v>541</v>
      </c>
      <c r="P81" t="s">
        <v>542</v>
      </c>
      <c r="Q81" t="s">
        <v>124</v>
      </c>
      <c r="R81" t="s">
        <v>35</v>
      </c>
      <c r="S81" t="s">
        <v>36</v>
      </c>
      <c r="T81" t="s">
        <v>37</v>
      </c>
    </row>
    <row r="82" spans="1:27" ht="14.5">
      <c r="A82">
        <v>81</v>
      </c>
      <c r="B82" t="s">
        <v>543</v>
      </c>
      <c r="C82" t="s">
        <v>544</v>
      </c>
      <c r="D82" t="s">
        <v>545</v>
      </c>
      <c r="E82" t="s">
        <v>546</v>
      </c>
      <c r="F82" t="s">
        <v>547</v>
      </c>
      <c r="G82">
        <v>2011</v>
      </c>
      <c r="H82" t="s">
        <v>548</v>
      </c>
      <c r="I82" t="s">
        <v>29</v>
      </c>
      <c r="J82" t="s">
        <v>29</v>
      </c>
      <c r="K82" t="s">
        <v>549</v>
      </c>
      <c r="L82">
        <v>3</v>
      </c>
      <c r="M82">
        <v>11</v>
      </c>
      <c r="N82">
        <v>8</v>
      </c>
      <c r="O82" t="s">
        <v>550</v>
      </c>
      <c r="P82" t="s">
        <v>551</v>
      </c>
      <c r="Q82" t="s">
        <v>124</v>
      </c>
      <c r="R82" t="s">
        <v>35</v>
      </c>
      <c r="S82" t="s">
        <v>36</v>
      </c>
      <c r="T82" t="s">
        <v>37</v>
      </c>
    </row>
    <row r="83" spans="1:27" ht="14.5">
      <c r="A83">
        <v>82</v>
      </c>
      <c r="B83" t="s">
        <v>552</v>
      </c>
      <c r="C83" t="s">
        <v>553</v>
      </c>
      <c r="D83" t="s">
        <v>554</v>
      </c>
      <c r="E83" t="s">
        <v>555</v>
      </c>
      <c r="F83" t="s">
        <v>556</v>
      </c>
      <c r="G83">
        <v>2014</v>
      </c>
      <c r="H83" t="s">
        <v>557</v>
      </c>
      <c r="I83" t="s">
        <v>485</v>
      </c>
      <c r="J83" t="s">
        <v>29</v>
      </c>
      <c r="K83" t="s">
        <v>29</v>
      </c>
      <c r="L83">
        <v>347</v>
      </c>
      <c r="M83">
        <v>353</v>
      </c>
      <c r="N83">
        <v>6</v>
      </c>
      <c r="O83" t="s">
        <v>558</v>
      </c>
      <c r="P83" t="s">
        <v>559</v>
      </c>
      <c r="Q83" t="s">
        <v>124</v>
      </c>
      <c r="R83" t="s">
        <v>35</v>
      </c>
      <c r="S83" t="s">
        <v>36</v>
      </c>
      <c r="T83" t="s">
        <v>37</v>
      </c>
    </row>
    <row r="84" spans="1:27" ht="14.5">
      <c r="A84">
        <v>83</v>
      </c>
      <c r="B84" t="s">
        <v>560</v>
      </c>
      <c r="C84" t="s">
        <v>561</v>
      </c>
      <c r="D84" t="s">
        <v>562</v>
      </c>
      <c r="E84" t="s">
        <v>563</v>
      </c>
      <c r="F84" t="s">
        <v>564</v>
      </c>
      <c r="G84">
        <v>2016</v>
      </c>
      <c r="H84" t="s">
        <v>565</v>
      </c>
      <c r="I84" t="s">
        <v>566</v>
      </c>
      <c r="J84" t="s">
        <v>567</v>
      </c>
      <c r="K84" t="s">
        <v>29</v>
      </c>
      <c r="L84">
        <v>553</v>
      </c>
      <c r="M84">
        <v>572</v>
      </c>
      <c r="N84">
        <v>19</v>
      </c>
      <c r="O84" t="s">
        <v>568</v>
      </c>
      <c r="P84" t="s">
        <v>569</v>
      </c>
      <c r="Q84" t="s">
        <v>157</v>
      </c>
      <c r="R84" t="s">
        <v>35</v>
      </c>
      <c r="S84" t="s">
        <v>36</v>
      </c>
      <c r="T84" t="s">
        <v>37</v>
      </c>
    </row>
    <row r="85" spans="1:27" ht="14.5">
      <c r="A85">
        <v>84</v>
      </c>
      <c r="B85" t="s">
        <v>570</v>
      </c>
      <c r="C85" t="s">
        <v>571</v>
      </c>
      <c r="D85" t="s">
        <v>572</v>
      </c>
      <c r="E85" t="s">
        <v>573</v>
      </c>
      <c r="F85" t="s">
        <v>574</v>
      </c>
      <c r="G85">
        <v>2013</v>
      </c>
      <c r="H85" t="s">
        <v>575</v>
      </c>
      <c r="I85" t="s">
        <v>29</v>
      </c>
      <c r="J85" t="s">
        <v>29</v>
      </c>
      <c r="K85" t="s">
        <v>576</v>
      </c>
      <c r="L85">
        <v>40</v>
      </c>
      <c r="M85">
        <v>49</v>
      </c>
      <c r="N85">
        <v>9</v>
      </c>
      <c r="O85" t="s">
        <v>577</v>
      </c>
      <c r="P85" t="s">
        <v>578</v>
      </c>
      <c r="Q85" t="s">
        <v>124</v>
      </c>
      <c r="R85" t="s">
        <v>35</v>
      </c>
      <c r="S85" t="s">
        <v>36</v>
      </c>
      <c r="T85" t="s">
        <v>37</v>
      </c>
    </row>
    <row r="86" spans="1:27" ht="14.5">
      <c r="A86">
        <v>85</v>
      </c>
      <c r="B86" t="s">
        <v>579</v>
      </c>
      <c r="C86" t="s">
        <v>580</v>
      </c>
      <c r="E86" t="s">
        <v>581</v>
      </c>
      <c r="G86">
        <v>2022</v>
      </c>
      <c r="O86" t="s">
        <v>582</v>
      </c>
      <c r="P86" t="s">
        <v>583</v>
      </c>
      <c r="Q86" t="s">
        <v>310</v>
      </c>
      <c r="R86" t="s">
        <v>311</v>
      </c>
      <c r="S86" t="s">
        <v>36</v>
      </c>
      <c r="T86" t="s">
        <v>36</v>
      </c>
      <c r="U86" t="s">
        <v>37</v>
      </c>
    </row>
    <row r="87" spans="1:27" ht="14.5">
      <c r="A87">
        <v>86</v>
      </c>
      <c r="B87" t="s">
        <v>584</v>
      </c>
      <c r="C87" t="s">
        <v>585</v>
      </c>
      <c r="D87" t="s">
        <v>586</v>
      </c>
      <c r="E87" t="s">
        <v>587</v>
      </c>
      <c r="F87" t="s">
        <v>588</v>
      </c>
      <c r="G87">
        <v>2020</v>
      </c>
      <c r="H87" t="s">
        <v>67</v>
      </c>
      <c r="I87" t="s">
        <v>91</v>
      </c>
      <c r="J87" t="s">
        <v>29</v>
      </c>
      <c r="K87" t="s">
        <v>29</v>
      </c>
      <c r="O87" t="s">
        <v>29</v>
      </c>
      <c r="P87" t="s">
        <v>589</v>
      </c>
      <c r="Q87" t="s">
        <v>124</v>
      </c>
      <c r="R87" t="s">
        <v>35</v>
      </c>
      <c r="S87" t="s">
        <v>36</v>
      </c>
      <c r="T87" t="s">
        <v>36</v>
      </c>
      <c r="U87" t="s">
        <v>36</v>
      </c>
      <c r="V87" t="s">
        <v>36</v>
      </c>
      <c r="W87" t="s">
        <v>36</v>
      </c>
      <c r="X87" t="s">
        <v>36</v>
      </c>
      <c r="Y87" t="s">
        <v>37</v>
      </c>
    </row>
    <row r="88" spans="1:27" ht="14.5">
      <c r="A88">
        <v>87</v>
      </c>
      <c r="B88" t="s">
        <v>590</v>
      </c>
      <c r="C88" t="s">
        <v>591</v>
      </c>
      <c r="D88" t="s">
        <v>592</v>
      </c>
      <c r="E88" t="s">
        <v>593</v>
      </c>
      <c r="F88" t="s">
        <v>594</v>
      </c>
      <c r="G88">
        <v>2015</v>
      </c>
      <c r="H88" t="s">
        <v>595</v>
      </c>
      <c r="I88" t="s">
        <v>596</v>
      </c>
      <c r="J88" t="s">
        <v>597</v>
      </c>
      <c r="K88" t="s">
        <v>598</v>
      </c>
      <c r="L88">
        <v>586</v>
      </c>
      <c r="M88">
        <v>590</v>
      </c>
      <c r="N88">
        <v>4</v>
      </c>
      <c r="O88" t="s">
        <v>599</v>
      </c>
      <c r="P88" t="s">
        <v>600</v>
      </c>
      <c r="Q88" t="s">
        <v>124</v>
      </c>
      <c r="R88" t="s">
        <v>35</v>
      </c>
      <c r="S88" t="s">
        <v>36</v>
      </c>
      <c r="T88" t="s">
        <v>37</v>
      </c>
    </row>
    <row r="89" spans="1:27" ht="14.5">
      <c r="A89">
        <v>88</v>
      </c>
      <c r="B89" t="s">
        <v>601</v>
      </c>
      <c r="C89" t="s">
        <v>602</v>
      </c>
      <c r="D89" t="s">
        <v>603</v>
      </c>
      <c r="E89" t="s">
        <v>604</v>
      </c>
      <c r="F89" t="s">
        <v>605</v>
      </c>
      <c r="G89">
        <v>2006</v>
      </c>
      <c r="H89" t="s">
        <v>79</v>
      </c>
      <c r="I89" t="s">
        <v>29</v>
      </c>
      <c r="J89" t="s">
        <v>29</v>
      </c>
      <c r="K89" t="s">
        <v>606</v>
      </c>
      <c r="L89">
        <v>99</v>
      </c>
      <c r="M89">
        <v>108</v>
      </c>
      <c r="N89">
        <v>9</v>
      </c>
      <c r="O89" t="s">
        <v>607</v>
      </c>
      <c r="P89" t="s">
        <v>608</v>
      </c>
      <c r="Q89" t="s">
        <v>124</v>
      </c>
      <c r="R89" t="s">
        <v>35</v>
      </c>
      <c r="S89" t="s">
        <v>36</v>
      </c>
      <c r="T89" t="s">
        <v>37</v>
      </c>
    </row>
    <row r="90" spans="1:27" ht="14.5">
      <c r="A90">
        <v>89</v>
      </c>
      <c r="B90" t="s">
        <v>609</v>
      </c>
      <c r="C90" t="s">
        <v>610</v>
      </c>
      <c r="D90" t="s">
        <v>611</v>
      </c>
      <c r="E90" t="s">
        <v>612</v>
      </c>
      <c r="F90" t="s">
        <v>613</v>
      </c>
      <c r="G90">
        <v>2017</v>
      </c>
      <c r="H90" t="s">
        <v>565</v>
      </c>
      <c r="I90" t="s">
        <v>614</v>
      </c>
      <c r="J90" t="s">
        <v>165</v>
      </c>
      <c r="K90" t="s">
        <v>29</v>
      </c>
      <c r="L90">
        <v>167</v>
      </c>
      <c r="M90">
        <v>190</v>
      </c>
      <c r="N90">
        <v>23</v>
      </c>
      <c r="O90" t="s">
        <v>615</v>
      </c>
      <c r="P90" t="s">
        <v>616</v>
      </c>
      <c r="Q90" t="s">
        <v>157</v>
      </c>
      <c r="R90" t="s">
        <v>35</v>
      </c>
      <c r="S90" t="s">
        <v>36</v>
      </c>
      <c r="T90" t="s">
        <v>37</v>
      </c>
    </row>
    <row r="91" spans="1:27" ht="14.5">
      <c r="A91">
        <v>90</v>
      </c>
      <c r="B91" t="s">
        <v>617</v>
      </c>
      <c r="C91" t="s">
        <v>618</v>
      </c>
      <c r="D91" t="s">
        <v>619</v>
      </c>
      <c r="E91" t="s">
        <v>620</v>
      </c>
      <c r="F91" t="s">
        <v>621</v>
      </c>
      <c r="G91">
        <v>2023</v>
      </c>
      <c r="H91" t="s">
        <v>622</v>
      </c>
      <c r="I91" t="s">
        <v>29</v>
      </c>
      <c r="J91" t="s">
        <v>29</v>
      </c>
      <c r="K91" t="s">
        <v>29</v>
      </c>
      <c r="L91">
        <v>1277</v>
      </c>
      <c r="M91">
        <v>1289</v>
      </c>
      <c r="N91">
        <v>12</v>
      </c>
      <c r="O91" t="s">
        <v>623</v>
      </c>
      <c r="P91" t="s">
        <v>624</v>
      </c>
      <c r="Q91" t="s">
        <v>124</v>
      </c>
      <c r="R91" t="s">
        <v>35</v>
      </c>
      <c r="S91" t="s">
        <v>36</v>
      </c>
      <c r="T91" t="s">
        <v>36</v>
      </c>
      <c r="U91" t="s">
        <v>36</v>
      </c>
      <c r="V91" t="s">
        <v>36</v>
      </c>
      <c r="W91" t="s">
        <v>36</v>
      </c>
      <c r="X91" t="s">
        <v>36</v>
      </c>
      <c r="Y91" t="s">
        <v>36</v>
      </c>
      <c r="Z91" t="s">
        <v>36</v>
      </c>
      <c r="AA91" t="s">
        <v>37</v>
      </c>
    </row>
    <row r="92" spans="1:27" ht="14.5">
      <c r="A92">
        <v>91</v>
      </c>
      <c r="B92" t="s">
        <v>625</v>
      </c>
      <c r="C92" t="s">
        <v>626</v>
      </c>
      <c r="E92" t="s">
        <v>620</v>
      </c>
      <c r="G92">
        <v>2023</v>
      </c>
      <c r="O92" t="s">
        <v>627</v>
      </c>
      <c r="P92" t="s">
        <v>628</v>
      </c>
      <c r="Q92" t="s">
        <v>310</v>
      </c>
      <c r="R92" t="s">
        <v>311</v>
      </c>
      <c r="S92" t="s">
        <v>37</v>
      </c>
    </row>
    <row r="93" spans="1:27" ht="14.5">
      <c r="A93">
        <v>92</v>
      </c>
      <c r="B93" t="s">
        <v>629</v>
      </c>
      <c r="C93" t="s">
        <v>630</v>
      </c>
      <c r="D93" t="s">
        <v>631</v>
      </c>
      <c r="E93" t="s">
        <v>632</v>
      </c>
      <c r="F93" t="s">
        <v>633</v>
      </c>
      <c r="G93">
        <v>2023</v>
      </c>
      <c r="H93" t="s">
        <v>634</v>
      </c>
      <c r="I93" t="s">
        <v>29</v>
      </c>
      <c r="J93" t="s">
        <v>29</v>
      </c>
      <c r="K93" t="s">
        <v>29</v>
      </c>
      <c r="L93">
        <v>123</v>
      </c>
      <c r="M93">
        <v>128</v>
      </c>
      <c r="N93">
        <v>5</v>
      </c>
      <c r="O93" t="s">
        <v>635</v>
      </c>
      <c r="P93" t="s">
        <v>636</v>
      </c>
      <c r="Q93" t="s">
        <v>124</v>
      </c>
      <c r="R93" t="s">
        <v>35</v>
      </c>
      <c r="S93" t="s">
        <v>36</v>
      </c>
      <c r="T93" t="s">
        <v>36</v>
      </c>
      <c r="U93" t="s">
        <v>36</v>
      </c>
      <c r="V93" t="s">
        <v>36</v>
      </c>
      <c r="W93" t="s">
        <v>36</v>
      </c>
      <c r="X93" t="s">
        <v>36</v>
      </c>
      <c r="Y93" t="s">
        <v>36</v>
      </c>
      <c r="Z93" t="s">
        <v>36</v>
      </c>
      <c r="AA93" t="s">
        <v>37</v>
      </c>
    </row>
    <row r="94" spans="1:27" s="42" customFormat="1" ht="14.5">
      <c r="A94" s="42">
        <v>93</v>
      </c>
      <c r="B94" s="42" t="s">
        <v>637</v>
      </c>
      <c r="C94" s="42" t="s">
        <v>638</v>
      </c>
      <c r="D94" s="42" t="s">
        <v>639</v>
      </c>
      <c r="E94" s="42" t="s">
        <v>640</v>
      </c>
      <c r="F94" s="42" t="s">
        <v>641</v>
      </c>
      <c r="G94" s="42">
        <v>2023</v>
      </c>
      <c r="H94" s="42" t="s">
        <v>79</v>
      </c>
      <c r="I94" s="42" t="s">
        <v>339</v>
      </c>
      <c r="J94" s="42" t="s">
        <v>29</v>
      </c>
      <c r="K94" s="42" t="s">
        <v>29</v>
      </c>
      <c r="L94" s="42">
        <v>335</v>
      </c>
      <c r="M94" s="42">
        <v>340</v>
      </c>
      <c r="N94" s="42">
        <v>5</v>
      </c>
      <c r="O94" s="42" t="s">
        <v>642</v>
      </c>
      <c r="P94" s="42" t="s">
        <v>643</v>
      </c>
      <c r="Q94" s="42" t="s">
        <v>124</v>
      </c>
      <c r="R94" s="42" t="s">
        <v>35</v>
      </c>
      <c r="S94" s="42" t="s">
        <v>36</v>
      </c>
      <c r="T94" s="42" t="s">
        <v>36</v>
      </c>
      <c r="U94" s="42" t="s">
        <v>36</v>
      </c>
      <c r="V94" s="42" t="s">
        <v>36</v>
      </c>
      <c r="W94" s="42" t="s">
        <v>36</v>
      </c>
      <c r="X94" s="42" t="s">
        <v>36</v>
      </c>
      <c r="Y94" s="42" t="s">
        <v>36</v>
      </c>
      <c r="Z94" s="42" t="s">
        <v>36</v>
      </c>
      <c r="AA94" s="42" t="s">
        <v>36</v>
      </c>
    </row>
    <row r="95" spans="1:27" ht="14.5">
      <c r="A95">
        <v>94</v>
      </c>
      <c r="B95" t="s">
        <v>644</v>
      </c>
      <c r="C95" t="s">
        <v>645</v>
      </c>
      <c r="D95" t="s">
        <v>646</v>
      </c>
      <c r="E95" t="s">
        <v>647</v>
      </c>
      <c r="F95" t="s">
        <v>648</v>
      </c>
      <c r="G95">
        <v>2020</v>
      </c>
      <c r="H95" t="s">
        <v>112</v>
      </c>
      <c r="I95" t="s">
        <v>649</v>
      </c>
      <c r="J95" t="s">
        <v>29</v>
      </c>
      <c r="K95" t="s">
        <v>29</v>
      </c>
      <c r="L95">
        <v>87</v>
      </c>
      <c r="M95">
        <v>105</v>
      </c>
      <c r="N95">
        <v>18</v>
      </c>
      <c r="O95" t="s">
        <v>650</v>
      </c>
      <c r="P95" t="s">
        <v>651</v>
      </c>
      <c r="Q95" t="s">
        <v>124</v>
      </c>
      <c r="R95" t="s">
        <v>35</v>
      </c>
      <c r="S95" t="s">
        <v>36</v>
      </c>
      <c r="T95" t="s">
        <v>36</v>
      </c>
      <c r="U95" t="s">
        <v>36</v>
      </c>
      <c r="V95" t="s">
        <v>36</v>
      </c>
      <c r="W95" t="s">
        <v>36</v>
      </c>
      <c r="X95" t="s">
        <v>36</v>
      </c>
      <c r="Y95" t="s">
        <v>36</v>
      </c>
      <c r="Z95" t="s">
        <v>36</v>
      </c>
      <c r="AA95" t="s">
        <v>37</v>
      </c>
    </row>
    <row r="96" spans="1:27" ht="14.5">
      <c r="A96">
        <v>95</v>
      </c>
      <c r="B96" t="s">
        <v>652</v>
      </c>
      <c r="C96" t="s">
        <v>653</v>
      </c>
      <c r="D96" t="s">
        <v>654</v>
      </c>
      <c r="E96" t="s">
        <v>655</v>
      </c>
      <c r="F96" t="s">
        <v>656</v>
      </c>
      <c r="G96">
        <v>2014</v>
      </c>
      <c r="H96" t="s">
        <v>41</v>
      </c>
      <c r="I96" t="s">
        <v>657</v>
      </c>
      <c r="J96" t="s">
        <v>29</v>
      </c>
      <c r="K96" t="s">
        <v>29</v>
      </c>
      <c r="L96">
        <v>23</v>
      </c>
      <c r="M96">
        <v>38</v>
      </c>
      <c r="N96">
        <v>15</v>
      </c>
      <c r="O96" t="s">
        <v>658</v>
      </c>
      <c r="P96" t="s">
        <v>659</v>
      </c>
      <c r="Q96" t="s">
        <v>124</v>
      </c>
      <c r="R96" t="s">
        <v>35</v>
      </c>
      <c r="S96" t="s">
        <v>36</v>
      </c>
      <c r="T96" t="s">
        <v>37</v>
      </c>
    </row>
    <row r="97" spans="1:27" ht="14.5">
      <c r="A97">
        <v>96</v>
      </c>
      <c r="B97" t="s">
        <v>660</v>
      </c>
      <c r="C97" t="s">
        <v>661</v>
      </c>
      <c r="D97" t="s">
        <v>662</v>
      </c>
      <c r="E97" t="s">
        <v>663</v>
      </c>
      <c r="F97" t="s">
        <v>664</v>
      </c>
      <c r="G97">
        <v>2013</v>
      </c>
      <c r="H97" t="s">
        <v>41</v>
      </c>
      <c r="I97" t="s">
        <v>665</v>
      </c>
      <c r="J97" t="s">
        <v>29</v>
      </c>
      <c r="K97" t="s">
        <v>29</v>
      </c>
      <c r="L97">
        <v>34</v>
      </c>
      <c r="M97">
        <v>49</v>
      </c>
      <c r="N97">
        <v>15</v>
      </c>
      <c r="O97" t="s">
        <v>666</v>
      </c>
      <c r="P97" t="s">
        <v>667</v>
      </c>
      <c r="Q97" t="s">
        <v>124</v>
      </c>
      <c r="R97" t="s">
        <v>35</v>
      </c>
      <c r="S97" t="s">
        <v>36</v>
      </c>
      <c r="T97" t="s">
        <v>37</v>
      </c>
    </row>
    <row r="98" spans="1:27" ht="14.5">
      <c r="A98">
        <v>97</v>
      </c>
      <c r="B98" t="s">
        <v>668</v>
      </c>
      <c r="C98" t="s">
        <v>669</v>
      </c>
      <c r="D98" t="s">
        <v>670</v>
      </c>
      <c r="E98" t="s">
        <v>671</v>
      </c>
      <c r="F98" t="s">
        <v>672</v>
      </c>
      <c r="G98">
        <v>2018</v>
      </c>
      <c r="H98" t="s">
        <v>507</v>
      </c>
      <c r="I98" t="s">
        <v>673</v>
      </c>
      <c r="J98" t="s">
        <v>674</v>
      </c>
      <c r="K98" t="s">
        <v>29</v>
      </c>
      <c r="L98">
        <v>3684</v>
      </c>
      <c r="M98">
        <v>3733</v>
      </c>
      <c r="N98">
        <v>49</v>
      </c>
      <c r="O98" t="s">
        <v>675</v>
      </c>
      <c r="P98" t="s">
        <v>676</v>
      </c>
      <c r="Q98" t="s">
        <v>157</v>
      </c>
      <c r="R98" t="s">
        <v>35</v>
      </c>
      <c r="S98" t="s">
        <v>36</v>
      </c>
      <c r="T98" t="s">
        <v>37</v>
      </c>
    </row>
    <row r="99" spans="1:27" ht="14.5">
      <c r="A99">
        <v>98</v>
      </c>
      <c r="B99" t="s">
        <v>677</v>
      </c>
      <c r="C99" t="s">
        <v>678</v>
      </c>
      <c r="D99" t="s">
        <v>679</v>
      </c>
      <c r="E99" t="s">
        <v>680</v>
      </c>
      <c r="F99" t="s">
        <v>681</v>
      </c>
      <c r="G99">
        <v>2019</v>
      </c>
      <c r="H99" t="s">
        <v>41</v>
      </c>
      <c r="I99" t="s">
        <v>682</v>
      </c>
      <c r="J99" t="s">
        <v>29</v>
      </c>
      <c r="K99" t="s">
        <v>29</v>
      </c>
      <c r="L99">
        <v>267</v>
      </c>
      <c r="M99">
        <v>281</v>
      </c>
      <c r="N99">
        <v>14</v>
      </c>
      <c r="O99" t="s">
        <v>683</v>
      </c>
      <c r="P99" t="s">
        <v>684</v>
      </c>
      <c r="Q99" t="s">
        <v>685</v>
      </c>
      <c r="R99" t="s">
        <v>35</v>
      </c>
      <c r="S99" t="s">
        <v>36</v>
      </c>
      <c r="T99" t="s">
        <v>36</v>
      </c>
      <c r="U99" t="s">
        <v>36</v>
      </c>
      <c r="V99" t="s">
        <v>36</v>
      </c>
      <c r="W99" t="s">
        <v>36</v>
      </c>
      <c r="X99" t="s">
        <v>36</v>
      </c>
      <c r="Y99" t="s">
        <v>37</v>
      </c>
    </row>
    <row r="100" spans="1:27" ht="14.5">
      <c r="A100">
        <v>99</v>
      </c>
      <c r="B100" t="s">
        <v>686</v>
      </c>
      <c r="C100" t="s">
        <v>687</v>
      </c>
      <c r="D100" t="s">
        <v>688</v>
      </c>
      <c r="E100" t="s">
        <v>689</v>
      </c>
      <c r="F100" t="s">
        <v>690</v>
      </c>
      <c r="G100">
        <v>2014</v>
      </c>
      <c r="H100" t="s">
        <v>691</v>
      </c>
      <c r="I100" t="s">
        <v>692</v>
      </c>
      <c r="J100" t="s">
        <v>674</v>
      </c>
      <c r="K100" t="s">
        <v>29</v>
      </c>
      <c r="L100">
        <v>647</v>
      </c>
      <c r="M100">
        <v>667</v>
      </c>
      <c r="N100">
        <v>20</v>
      </c>
      <c r="O100" t="s">
        <v>693</v>
      </c>
      <c r="P100" t="s">
        <v>694</v>
      </c>
      <c r="Q100" t="s">
        <v>157</v>
      </c>
      <c r="R100" t="s">
        <v>35</v>
      </c>
      <c r="S100" t="s">
        <v>36</v>
      </c>
      <c r="T100" t="s">
        <v>37</v>
      </c>
    </row>
    <row r="101" spans="1:27" ht="14.5">
      <c r="A101">
        <v>100</v>
      </c>
      <c r="B101" t="s">
        <v>695</v>
      </c>
      <c r="C101" t="s">
        <v>696</v>
      </c>
      <c r="D101" t="s">
        <v>572</v>
      </c>
      <c r="E101" t="s">
        <v>697</v>
      </c>
      <c r="F101" t="s">
        <v>698</v>
      </c>
      <c r="G101">
        <v>2009</v>
      </c>
      <c r="H101" t="s">
        <v>699</v>
      </c>
      <c r="I101" t="s">
        <v>29</v>
      </c>
      <c r="J101" t="s">
        <v>29</v>
      </c>
      <c r="K101" t="s">
        <v>700</v>
      </c>
      <c r="L101">
        <v>518</v>
      </c>
      <c r="M101">
        <v>523</v>
      </c>
      <c r="N101">
        <v>5</v>
      </c>
      <c r="O101" t="s">
        <v>701</v>
      </c>
      <c r="P101" t="s">
        <v>702</v>
      </c>
      <c r="Q101" t="s">
        <v>124</v>
      </c>
      <c r="R101" t="s">
        <v>35</v>
      </c>
      <c r="S101" t="s">
        <v>36</v>
      </c>
      <c r="T101" t="s">
        <v>37</v>
      </c>
    </row>
    <row r="102" spans="1:27" ht="14.5">
      <c r="A102">
        <v>101</v>
      </c>
      <c r="B102" t="s">
        <v>703</v>
      </c>
      <c r="C102" t="s">
        <v>704</v>
      </c>
      <c r="D102" t="s">
        <v>705</v>
      </c>
      <c r="E102" t="s">
        <v>706</v>
      </c>
      <c r="F102" t="s">
        <v>707</v>
      </c>
      <c r="G102">
        <v>2019</v>
      </c>
      <c r="H102" t="s">
        <v>708</v>
      </c>
      <c r="I102" t="s">
        <v>29</v>
      </c>
      <c r="J102" t="s">
        <v>29</v>
      </c>
      <c r="K102" t="s">
        <v>709</v>
      </c>
      <c r="L102">
        <v>263</v>
      </c>
      <c r="M102">
        <v>269</v>
      </c>
      <c r="N102">
        <v>6</v>
      </c>
      <c r="O102" t="s">
        <v>710</v>
      </c>
      <c r="P102" t="s">
        <v>711</v>
      </c>
      <c r="Q102" t="s">
        <v>124</v>
      </c>
      <c r="R102" t="s">
        <v>35</v>
      </c>
      <c r="S102" t="s">
        <v>36</v>
      </c>
      <c r="T102" t="s">
        <v>36</v>
      </c>
      <c r="U102" t="s">
        <v>36</v>
      </c>
      <c r="V102" t="s">
        <v>36</v>
      </c>
      <c r="W102" t="s">
        <v>36</v>
      </c>
      <c r="X102" t="s">
        <v>36</v>
      </c>
      <c r="Y102" t="s">
        <v>36</v>
      </c>
      <c r="Z102" t="s">
        <v>37</v>
      </c>
    </row>
    <row r="103" spans="1:27" ht="14.5">
      <c r="A103">
        <v>102</v>
      </c>
      <c r="B103" t="s">
        <v>712</v>
      </c>
      <c r="C103" t="s">
        <v>713</v>
      </c>
      <c r="E103" t="s">
        <v>714</v>
      </c>
      <c r="G103">
        <v>2019</v>
      </c>
      <c r="O103" t="s">
        <v>715</v>
      </c>
      <c r="P103" t="s">
        <v>716</v>
      </c>
      <c r="Q103" t="s">
        <v>310</v>
      </c>
      <c r="R103" t="s">
        <v>311</v>
      </c>
      <c r="S103" t="s">
        <v>37</v>
      </c>
    </row>
    <row r="104" spans="1:27" ht="14.5">
      <c r="A104">
        <v>103</v>
      </c>
      <c r="B104" t="s">
        <v>717</v>
      </c>
      <c r="C104" t="s">
        <v>718</v>
      </c>
      <c r="D104" t="s">
        <v>719</v>
      </c>
      <c r="E104" t="s">
        <v>720</v>
      </c>
      <c r="F104" t="s">
        <v>721</v>
      </c>
      <c r="G104">
        <v>2015</v>
      </c>
      <c r="H104" t="s">
        <v>722</v>
      </c>
      <c r="I104" t="s">
        <v>29</v>
      </c>
      <c r="J104" t="s">
        <v>29</v>
      </c>
      <c r="K104" t="s">
        <v>29</v>
      </c>
      <c r="L104">
        <v>69</v>
      </c>
      <c r="M104">
        <v>70</v>
      </c>
      <c r="N104">
        <v>1</v>
      </c>
      <c r="O104" t="s">
        <v>29</v>
      </c>
      <c r="P104" t="s">
        <v>723</v>
      </c>
      <c r="Q104" t="s">
        <v>124</v>
      </c>
      <c r="R104" t="s">
        <v>35</v>
      </c>
      <c r="S104" t="s">
        <v>36</v>
      </c>
      <c r="T104" t="s">
        <v>37</v>
      </c>
    </row>
    <row r="105" spans="1:27" ht="14.5">
      <c r="A105">
        <v>104</v>
      </c>
      <c r="B105" t="s">
        <v>724</v>
      </c>
      <c r="C105" t="s">
        <v>725</v>
      </c>
      <c r="D105" t="s">
        <v>726</v>
      </c>
      <c r="E105" t="s">
        <v>727</v>
      </c>
      <c r="F105" t="s">
        <v>728</v>
      </c>
      <c r="G105">
        <v>2021</v>
      </c>
      <c r="H105" t="s">
        <v>31</v>
      </c>
      <c r="I105" t="s">
        <v>729</v>
      </c>
      <c r="J105" t="s">
        <v>29</v>
      </c>
      <c r="K105" t="s">
        <v>29</v>
      </c>
      <c r="L105">
        <v>83</v>
      </c>
      <c r="M105">
        <v>105</v>
      </c>
      <c r="N105">
        <v>22</v>
      </c>
      <c r="O105" t="s">
        <v>730</v>
      </c>
      <c r="P105" t="s">
        <v>731</v>
      </c>
      <c r="Q105" t="s">
        <v>124</v>
      </c>
      <c r="R105" t="s">
        <v>35</v>
      </c>
      <c r="S105" t="s">
        <v>36</v>
      </c>
      <c r="T105" t="s">
        <v>36</v>
      </c>
      <c r="U105" t="s">
        <v>36</v>
      </c>
      <c r="V105" t="s">
        <v>37</v>
      </c>
    </row>
    <row r="106" spans="1:27" ht="14.5">
      <c r="A106">
        <v>105</v>
      </c>
      <c r="B106" t="s">
        <v>732</v>
      </c>
      <c r="C106" t="s">
        <v>733</v>
      </c>
      <c r="D106" t="s">
        <v>734</v>
      </c>
      <c r="E106" t="s">
        <v>735</v>
      </c>
      <c r="F106" t="s">
        <v>736</v>
      </c>
      <c r="G106">
        <v>2022</v>
      </c>
      <c r="H106" t="s">
        <v>79</v>
      </c>
      <c r="I106" t="s">
        <v>737</v>
      </c>
      <c r="J106" t="s">
        <v>29</v>
      </c>
      <c r="K106" t="s">
        <v>29</v>
      </c>
      <c r="L106">
        <v>274</v>
      </c>
      <c r="M106">
        <v>280</v>
      </c>
      <c r="N106">
        <v>6</v>
      </c>
      <c r="O106" t="s">
        <v>738</v>
      </c>
      <c r="P106" t="s">
        <v>739</v>
      </c>
      <c r="Q106" t="s">
        <v>124</v>
      </c>
      <c r="R106" t="s">
        <v>35</v>
      </c>
      <c r="S106" t="s">
        <v>36</v>
      </c>
      <c r="T106" t="s">
        <v>36</v>
      </c>
      <c r="U106" t="s">
        <v>36</v>
      </c>
      <c r="V106" t="s">
        <v>36</v>
      </c>
      <c r="W106" t="s">
        <v>36</v>
      </c>
      <c r="X106" t="s">
        <v>36</v>
      </c>
      <c r="Y106" t="s">
        <v>36</v>
      </c>
      <c r="Z106" t="s">
        <v>37</v>
      </c>
    </row>
    <row r="107" spans="1:27" ht="14.5">
      <c r="A107">
        <v>106</v>
      </c>
      <c r="B107" t="s">
        <v>740</v>
      </c>
      <c r="C107" t="s">
        <v>741</v>
      </c>
      <c r="E107" t="s">
        <v>735</v>
      </c>
      <c r="G107">
        <v>2022</v>
      </c>
      <c r="O107" t="s">
        <v>742</v>
      </c>
      <c r="P107" t="s">
        <v>743</v>
      </c>
      <c r="Q107" t="s">
        <v>310</v>
      </c>
      <c r="R107" t="s">
        <v>311</v>
      </c>
      <c r="S107" t="s">
        <v>37</v>
      </c>
    </row>
    <row r="108" spans="1:27" ht="14.5">
      <c r="A108">
        <v>107</v>
      </c>
      <c r="B108" t="s">
        <v>744</v>
      </c>
      <c r="C108" t="s">
        <v>745</v>
      </c>
      <c r="E108" t="s">
        <v>746</v>
      </c>
      <c r="G108">
        <v>2024</v>
      </c>
      <c r="O108" t="s">
        <v>747</v>
      </c>
      <c r="P108" t="s">
        <v>748</v>
      </c>
      <c r="Q108" t="s">
        <v>310</v>
      </c>
      <c r="R108" t="s">
        <v>311</v>
      </c>
      <c r="S108" t="s">
        <v>36</v>
      </c>
      <c r="T108" t="s">
        <v>36</v>
      </c>
      <c r="U108" t="s">
        <v>37</v>
      </c>
    </row>
    <row r="109" spans="1:27" ht="14.5">
      <c r="A109">
        <v>108</v>
      </c>
      <c r="B109" t="s">
        <v>749</v>
      </c>
      <c r="C109" t="s">
        <v>750</v>
      </c>
      <c r="D109" t="s">
        <v>751</v>
      </c>
      <c r="E109" t="s">
        <v>752</v>
      </c>
      <c r="F109" t="s">
        <v>753</v>
      </c>
      <c r="G109">
        <v>2020</v>
      </c>
      <c r="H109" t="s">
        <v>86</v>
      </c>
      <c r="I109" t="s">
        <v>29</v>
      </c>
      <c r="J109" t="s">
        <v>29</v>
      </c>
      <c r="K109" t="s">
        <v>29</v>
      </c>
      <c r="L109">
        <v>47</v>
      </c>
      <c r="M109">
        <v>54</v>
      </c>
      <c r="N109">
        <v>7</v>
      </c>
      <c r="O109" t="s">
        <v>754</v>
      </c>
      <c r="P109" t="s">
        <v>755</v>
      </c>
      <c r="Q109" t="s">
        <v>124</v>
      </c>
      <c r="R109" t="s">
        <v>35</v>
      </c>
      <c r="S109" t="s">
        <v>36</v>
      </c>
      <c r="T109" t="s">
        <v>36</v>
      </c>
      <c r="U109" t="s">
        <v>36</v>
      </c>
      <c r="V109" t="s">
        <v>36</v>
      </c>
      <c r="W109" t="s">
        <v>36</v>
      </c>
      <c r="X109" t="s">
        <v>36</v>
      </c>
      <c r="Y109" t="s">
        <v>36</v>
      </c>
      <c r="Z109" t="s">
        <v>36</v>
      </c>
      <c r="AA109" t="s">
        <v>37</v>
      </c>
    </row>
    <row r="110" spans="1:27" ht="14.5">
      <c r="A110">
        <v>109</v>
      </c>
      <c r="B110" t="s">
        <v>756</v>
      </c>
      <c r="C110" t="s">
        <v>757</v>
      </c>
      <c r="D110" t="s">
        <v>758</v>
      </c>
      <c r="E110" t="s">
        <v>759</v>
      </c>
      <c r="F110" t="s">
        <v>760</v>
      </c>
      <c r="G110">
        <v>2018</v>
      </c>
      <c r="H110" t="s">
        <v>67</v>
      </c>
      <c r="I110" t="s">
        <v>68</v>
      </c>
      <c r="J110" t="s">
        <v>29</v>
      </c>
      <c r="K110" t="s">
        <v>29</v>
      </c>
      <c r="O110" t="s">
        <v>29</v>
      </c>
      <c r="P110" t="s">
        <v>761</v>
      </c>
      <c r="Q110" t="s">
        <v>124</v>
      </c>
      <c r="R110" t="s">
        <v>35</v>
      </c>
      <c r="S110" t="s">
        <v>36</v>
      </c>
      <c r="T110" t="s">
        <v>37</v>
      </c>
    </row>
    <row r="111" spans="1:27" ht="14.5">
      <c r="A111">
        <v>110</v>
      </c>
      <c r="B111" t="s">
        <v>762</v>
      </c>
      <c r="C111" t="s">
        <v>763</v>
      </c>
      <c r="D111" t="s">
        <v>764</v>
      </c>
      <c r="E111" t="s">
        <v>765</v>
      </c>
      <c r="F111" t="s">
        <v>766</v>
      </c>
      <c r="G111">
        <v>2019</v>
      </c>
      <c r="H111" t="s">
        <v>41</v>
      </c>
      <c r="I111" t="s">
        <v>767</v>
      </c>
      <c r="J111" t="s">
        <v>29</v>
      </c>
      <c r="K111" t="s">
        <v>29</v>
      </c>
      <c r="L111">
        <v>88</v>
      </c>
      <c r="M111">
        <v>96</v>
      </c>
      <c r="N111">
        <v>8</v>
      </c>
      <c r="O111" t="s">
        <v>768</v>
      </c>
      <c r="P111" t="s">
        <v>769</v>
      </c>
      <c r="Q111" t="s">
        <v>124</v>
      </c>
      <c r="R111" t="s">
        <v>35</v>
      </c>
      <c r="S111" t="s">
        <v>36</v>
      </c>
      <c r="T111" t="s">
        <v>36</v>
      </c>
      <c r="U111" t="s">
        <v>36</v>
      </c>
      <c r="V111" t="s">
        <v>36</v>
      </c>
      <c r="W111" t="s">
        <v>36</v>
      </c>
      <c r="X111" t="s">
        <v>36</v>
      </c>
      <c r="Y111" t="s">
        <v>36</v>
      </c>
      <c r="Z111" t="s">
        <v>36</v>
      </c>
      <c r="AA111" t="s">
        <v>37</v>
      </c>
    </row>
    <row r="112" spans="1:27" ht="14.5">
      <c r="A112">
        <v>111</v>
      </c>
      <c r="B112" t="s">
        <v>770</v>
      </c>
      <c r="C112" t="s">
        <v>771</v>
      </c>
      <c r="D112" t="s">
        <v>772</v>
      </c>
      <c r="E112" t="s">
        <v>773</v>
      </c>
      <c r="F112" t="s">
        <v>774</v>
      </c>
      <c r="G112">
        <v>2023</v>
      </c>
      <c r="H112" t="s">
        <v>775</v>
      </c>
      <c r="I112" t="s">
        <v>776</v>
      </c>
      <c r="J112" t="s">
        <v>777</v>
      </c>
      <c r="K112" t="s">
        <v>29</v>
      </c>
      <c r="L112">
        <v>705</v>
      </c>
      <c r="M112">
        <v>711</v>
      </c>
      <c r="N112">
        <v>6</v>
      </c>
      <c r="O112" t="s">
        <v>778</v>
      </c>
      <c r="P112" t="s">
        <v>779</v>
      </c>
      <c r="Q112" t="s">
        <v>157</v>
      </c>
      <c r="R112" t="s">
        <v>35</v>
      </c>
      <c r="S112" t="s">
        <v>36</v>
      </c>
      <c r="T112" t="s">
        <v>36</v>
      </c>
      <c r="U112" t="s">
        <v>36</v>
      </c>
      <c r="V112" t="s">
        <v>36</v>
      </c>
      <c r="W112" t="s">
        <v>36</v>
      </c>
      <c r="X112" t="s">
        <v>36</v>
      </c>
      <c r="Y112" t="s">
        <v>36</v>
      </c>
      <c r="Z112" t="s">
        <v>36</v>
      </c>
      <c r="AA112" t="s">
        <v>37</v>
      </c>
    </row>
    <row r="113" spans="1:27" s="42" customFormat="1" ht="14.5">
      <c r="A113" s="42">
        <v>112</v>
      </c>
      <c r="B113" s="42" t="s">
        <v>781</v>
      </c>
      <c r="C113" s="42" t="s">
        <v>782</v>
      </c>
      <c r="D113" s="42" t="s">
        <v>783</v>
      </c>
      <c r="E113" s="42" t="s">
        <v>784</v>
      </c>
      <c r="F113" s="42" t="s">
        <v>785</v>
      </c>
      <c r="G113" s="42">
        <v>2023</v>
      </c>
      <c r="H113" s="42" t="s">
        <v>786</v>
      </c>
      <c r="I113" s="42" t="s">
        <v>509</v>
      </c>
      <c r="J113" s="42" t="s">
        <v>29</v>
      </c>
      <c r="K113" s="42" t="s">
        <v>29</v>
      </c>
      <c r="L113" s="42">
        <v>707</v>
      </c>
      <c r="M113" s="42">
        <v>716</v>
      </c>
      <c r="N113" s="42">
        <v>9</v>
      </c>
      <c r="O113" s="42" t="s">
        <v>787</v>
      </c>
      <c r="P113" s="42" t="s">
        <v>788</v>
      </c>
      <c r="Q113" s="42" t="s">
        <v>124</v>
      </c>
      <c r="R113" s="42" t="s">
        <v>35</v>
      </c>
      <c r="S113" s="42" t="s">
        <v>36</v>
      </c>
      <c r="T113" s="42" t="s">
        <v>36</v>
      </c>
      <c r="U113" s="42" t="s">
        <v>36</v>
      </c>
      <c r="V113" s="42" t="s">
        <v>36</v>
      </c>
      <c r="W113" s="42" t="s">
        <v>36</v>
      </c>
      <c r="X113" s="42" t="s">
        <v>36</v>
      </c>
      <c r="Y113" s="42" t="s">
        <v>36</v>
      </c>
      <c r="Z113" s="42" t="s">
        <v>36</v>
      </c>
      <c r="AA113" s="42" t="s">
        <v>36</v>
      </c>
    </row>
    <row r="114" spans="1:27" ht="14.5">
      <c r="A114">
        <v>113</v>
      </c>
      <c r="B114" t="s">
        <v>789</v>
      </c>
      <c r="C114" t="s">
        <v>790</v>
      </c>
      <c r="D114" t="s">
        <v>791</v>
      </c>
      <c r="E114" t="s">
        <v>792</v>
      </c>
      <c r="F114" t="s">
        <v>793</v>
      </c>
      <c r="G114">
        <v>2014</v>
      </c>
      <c r="H114" t="s">
        <v>794</v>
      </c>
      <c r="I114" t="s">
        <v>29</v>
      </c>
      <c r="J114" t="s">
        <v>29</v>
      </c>
      <c r="K114" t="s">
        <v>795</v>
      </c>
      <c r="L114">
        <v>103</v>
      </c>
      <c r="M114">
        <v>112</v>
      </c>
      <c r="N114">
        <v>9</v>
      </c>
      <c r="O114" t="s">
        <v>796</v>
      </c>
      <c r="P114" t="s">
        <v>797</v>
      </c>
      <c r="Q114" t="s">
        <v>124</v>
      </c>
      <c r="R114" t="s">
        <v>35</v>
      </c>
      <c r="S114" t="s">
        <v>36</v>
      </c>
      <c r="T114" t="s">
        <v>37</v>
      </c>
    </row>
    <row r="115" spans="1:27" ht="14.5">
      <c r="A115">
        <v>114</v>
      </c>
      <c r="B115" t="s">
        <v>798</v>
      </c>
      <c r="C115" t="s">
        <v>799</v>
      </c>
      <c r="D115" t="s">
        <v>800</v>
      </c>
      <c r="E115" t="s">
        <v>801</v>
      </c>
      <c r="F115" t="s">
        <v>802</v>
      </c>
      <c r="G115">
        <v>2013</v>
      </c>
      <c r="H115" t="s">
        <v>565</v>
      </c>
      <c r="I115" t="s">
        <v>803</v>
      </c>
      <c r="J115" t="s">
        <v>153</v>
      </c>
      <c r="K115" t="s">
        <v>29</v>
      </c>
      <c r="L115">
        <v>25</v>
      </c>
      <c r="M115">
        <v>41</v>
      </c>
      <c r="N115">
        <v>16</v>
      </c>
      <c r="O115" t="s">
        <v>804</v>
      </c>
      <c r="P115" t="s">
        <v>805</v>
      </c>
      <c r="Q115" t="s">
        <v>157</v>
      </c>
      <c r="R115" t="s">
        <v>35</v>
      </c>
      <c r="S115" t="s">
        <v>36</v>
      </c>
      <c r="T115" t="s">
        <v>37</v>
      </c>
    </row>
    <row r="116" spans="1:27" ht="14.5">
      <c r="A116">
        <v>115</v>
      </c>
      <c r="B116" t="s">
        <v>806</v>
      </c>
      <c r="C116" t="s">
        <v>807</v>
      </c>
      <c r="D116" t="s">
        <v>808</v>
      </c>
      <c r="E116" t="s">
        <v>809</v>
      </c>
      <c r="F116" t="s">
        <v>810</v>
      </c>
      <c r="G116">
        <v>2022</v>
      </c>
      <c r="H116" t="s">
        <v>811</v>
      </c>
      <c r="I116" t="s">
        <v>29</v>
      </c>
      <c r="J116" t="s">
        <v>29</v>
      </c>
      <c r="K116" t="s">
        <v>29</v>
      </c>
      <c r="L116">
        <v>1884</v>
      </c>
      <c r="M116">
        <v>1888</v>
      </c>
      <c r="N116">
        <v>4</v>
      </c>
      <c r="O116" t="s">
        <v>812</v>
      </c>
      <c r="P116" t="s">
        <v>813</v>
      </c>
      <c r="Q116" t="s">
        <v>124</v>
      </c>
      <c r="R116" t="s">
        <v>35</v>
      </c>
      <c r="S116" t="s">
        <v>36</v>
      </c>
      <c r="T116" t="s">
        <v>36</v>
      </c>
      <c r="U116" t="s">
        <v>36</v>
      </c>
      <c r="V116" t="s">
        <v>36</v>
      </c>
      <c r="W116" t="s">
        <v>36</v>
      </c>
      <c r="X116" t="s">
        <v>36</v>
      </c>
      <c r="Y116" t="s">
        <v>36</v>
      </c>
      <c r="Z116" t="s">
        <v>36</v>
      </c>
      <c r="AA116" t="s">
        <v>37</v>
      </c>
    </row>
    <row r="117" spans="1:27" ht="14.5">
      <c r="A117">
        <v>116</v>
      </c>
      <c r="B117" t="s">
        <v>814</v>
      </c>
      <c r="C117" t="s">
        <v>815</v>
      </c>
      <c r="E117" t="s">
        <v>816</v>
      </c>
      <c r="F117" t="s">
        <v>817</v>
      </c>
      <c r="G117">
        <v>2020</v>
      </c>
      <c r="O117" t="s">
        <v>818</v>
      </c>
      <c r="P117" t="s">
        <v>819</v>
      </c>
      <c r="Q117" t="s">
        <v>310</v>
      </c>
      <c r="R117" t="s">
        <v>311</v>
      </c>
      <c r="S117" t="s">
        <v>36</v>
      </c>
      <c r="T117" t="s">
        <v>36</v>
      </c>
      <c r="U117" t="s">
        <v>37</v>
      </c>
    </row>
    <row r="118" spans="1:27" ht="14.5">
      <c r="A118">
        <v>117</v>
      </c>
      <c r="B118" t="s">
        <v>820</v>
      </c>
      <c r="C118" t="s">
        <v>821</v>
      </c>
      <c r="D118" t="s">
        <v>822</v>
      </c>
      <c r="E118" t="s">
        <v>823</v>
      </c>
      <c r="F118" t="s">
        <v>824</v>
      </c>
      <c r="G118">
        <v>2019</v>
      </c>
      <c r="H118" t="s">
        <v>825</v>
      </c>
      <c r="I118" t="s">
        <v>29</v>
      </c>
      <c r="J118" t="s">
        <v>29</v>
      </c>
      <c r="K118" t="s">
        <v>826</v>
      </c>
      <c r="L118">
        <v>129</v>
      </c>
      <c r="M118">
        <v>136</v>
      </c>
      <c r="N118">
        <v>7</v>
      </c>
      <c r="O118" t="s">
        <v>827</v>
      </c>
      <c r="P118" t="s">
        <v>828</v>
      </c>
      <c r="Q118" t="s">
        <v>124</v>
      </c>
      <c r="R118" t="s">
        <v>35</v>
      </c>
      <c r="S118" t="s">
        <v>36</v>
      </c>
      <c r="T118" t="s">
        <v>36</v>
      </c>
      <c r="U118" t="s">
        <v>36</v>
      </c>
      <c r="V118" t="s">
        <v>36</v>
      </c>
      <c r="W118" t="s">
        <v>36</v>
      </c>
      <c r="X118" t="s">
        <v>36</v>
      </c>
      <c r="Y118" t="s">
        <v>36</v>
      </c>
      <c r="Z118" t="s">
        <v>37</v>
      </c>
    </row>
    <row r="119" spans="1:27" ht="14.5">
      <c r="A119">
        <v>118</v>
      </c>
      <c r="B119" t="s">
        <v>820</v>
      </c>
      <c r="C119" t="s">
        <v>829</v>
      </c>
      <c r="D119" t="s">
        <v>822</v>
      </c>
      <c r="E119" t="s">
        <v>830</v>
      </c>
      <c r="F119" t="s">
        <v>831</v>
      </c>
      <c r="G119">
        <v>2020</v>
      </c>
      <c r="H119" t="s">
        <v>832</v>
      </c>
      <c r="I119" t="s">
        <v>29</v>
      </c>
      <c r="J119" t="s">
        <v>29</v>
      </c>
      <c r="K119" t="s">
        <v>29</v>
      </c>
      <c r="L119">
        <v>31</v>
      </c>
      <c r="M119">
        <v>40</v>
      </c>
      <c r="N119">
        <v>9</v>
      </c>
      <c r="O119" t="s">
        <v>833</v>
      </c>
      <c r="P119" t="s">
        <v>834</v>
      </c>
      <c r="Q119" t="s">
        <v>124</v>
      </c>
      <c r="R119" t="s">
        <v>35</v>
      </c>
      <c r="S119" t="s">
        <v>36</v>
      </c>
      <c r="T119" t="s">
        <v>36</v>
      </c>
      <c r="U119" t="s">
        <v>36</v>
      </c>
      <c r="V119" t="s">
        <v>36</v>
      </c>
      <c r="W119" t="s">
        <v>36</v>
      </c>
      <c r="X119" t="s">
        <v>36</v>
      </c>
      <c r="Y119" t="s">
        <v>36</v>
      </c>
      <c r="Z119" t="s">
        <v>37</v>
      </c>
    </row>
    <row r="120" spans="1:27" ht="14.5">
      <c r="A120">
        <v>119</v>
      </c>
      <c r="B120" t="s">
        <v>835</v>
      </c>
      <c r="C120" t="s">
        <v>836</v>
      </c>
      <c r="D120" t="s">
        <v>837</v>
      </c>
      <c r="E120" t="s">
        <v>838</v>
      </c>
      <c r="F120" t="s">
        <v>839</v>
      </c>
      <c r="G120">
        <v>2018</v>
      </c>
      <c r="H120" t="s">
        <v>840</v>
      </c>
      <c r="I120" t="s">
        <v>29</v>
      </c>
      <c r="J120" t="s">
        <v>29</v>
      </c>
      <c r="K120" t="s">
        <v>841</v>
      </c>
      <c r="L120">
        <v>61</v>
      </c>
      <c r="M120">
        <v>65</v>
      </c>
      <c r="N120">
        <v>4</v>
      </c>
      <c r="O120" t="s">
        <v>842</v>
      </c>
      <c r="P120" t="s">
        <v>843</v>
      </c>
      <c r="Q120" t="s">
        <v>124</v>
      </c>
      <c r="R120" t="s">
        <v>35</v>
      </c>
      <c r="S120" t="s">
        <v>36</v>
      </c>
      <c r="T120" t="s">
        <v>37</v>
      </c>
    </row>
    <row r="121" spans="1:27" ht="14.5">
      <c r="A121">
        <v>120</v>
      </c>
      <c r="B121" t="s">
        <v>844</v>
      </c>
      <c r="C121" t="s">
        <v>845</v>
      </c>
      <c r="D121" t="s">
        <v>846</v>
      </c>
      <c r="E121" t="s">
        <v>847</v>
      </c>
      <c r="F121" t="s">
        <v>848</v>
      </c>
      <c r="G121">
        <v>2010</v>
      </c>
      <c r="H121" t="s">
        <v>41</v>
      </c>
      <c r="I121" t="s">
        <v>849</v>
      </c>
      <c r="J121" t="s">
        <v>29</v>
      </c>
      <c r="K121" t="s">
        <v>29</v>
      </c>
      <c r="L121">
        <v>218</v>
      </c>
      <c r="M121">
        <v>232</v>
      </c>
      <c r="N121">
        <v>14</v>
      </c>
      <c r="O121" t="s">
        <v>850</v>
      </c>
      <c r="P121" t="s">
        <v>851</v>
      </c>
      <c r="Q121" t="s">
        <v>124</v>
      </c>
      <c r="R121" t="s">
        <v>35</v>
      </c>
      <c r="S121" t="s">
        <v>36</v>
      </c>
      <c r="T121" t="s">
        <v>37</v>
      </c>
    </row>
    <row r="122" spans="1:27" ht="14.5">
      <c r="A122">
        <v>121</v>
      </c>
      <c r="B122" t="s">
        <v>852</v>
      </c>
      <c r="C122" t="s">
        <v>853</v>
      </c>
      <c r="D122" t="s">
        <v>854</v>
      </c>
      <c r="E122" t="s">
        <v>855</v>
      </c>
      <c r="F122" t="s">
        <v>856</v>
      </c>
      <c r="G122">
        <v>2021</v>
      </c>
      <c r="H122" t="s">
        <v>67</v>
      </c>
      <c r="I122" t="s">
        <v>94</v>
      </c>
      <c r="J122" t="s">
        <v>29</v>
      </c>
      <c r="K122" t="s">
        <v>29</v>
      </c>
      <c r="O122" t="s">
        <v>29</v>
      </c>
      <c r="P122" t="s">
        <v>857</v>
      </c>
      <c r="Q122" t="s">
        <v>124</v>
      </c>
      <c r="R122" t="s">
        <v>35</v>
      </c>
      <c r="S122" t="s">
        <v>36</v>
      </c>
      <c r="T122" t="s">
        <v>36</v>
      </c>
      <c r="U122" t="s">
        <v>36</v>
      </c>
      <c r="V122" t="s">
        <v>36</v>
      </c>
      <c r="W122" t="s">
        <v>36</v>
      </c>
      <c r="X122" t="s">
        <v>36</v>
      </c>
      <c r="Y122" t="s">
        <v>36</v>
      </c>
      <c r="Z122" t="s">
        <v>37</v>
      </c>
    </row>
    <row r="123" spans="1:27" ht="14.5">
      <c r="A123">
        <v>122</v>
      </c>
      <c r="B123" t="s">
        <v>858</v>
      </c>
      <c r="C123" t="s">
        <v>859</v>
      </c>
      <c r="D123" t="s">
        <v>860</v>
      </c>
      <c r="E123" t="s">
        <v>861</v>
      </c>
      <c r="F123" t="s">
        <v>862</v>
      </c>
      <c r="G123">
        <v>2005</v>
      </c>
      <c r="H123" t="s">
        <v>863</v>
      </c>
      <c r="I123" t="s">
        <v>864</v>
      </c>
      <c r="J123" t="s">
        <v>153</v>
      </c>
      <c r="K123" t="s">
        <v>29</v>
      </c>
      <c r="L123">
        <v>53</v>
      </c>
      <c r="M123">
        <v>62</v>
      </c>
      <c r="N123">
        <v>9</v>
      </c>
      <c r="O123" t="s">
        <v>29</v>
      </c>
      <c r="P123" t="s">
        <v>865</v>
      </c>
      <c r="Q123" t="s">
        <v>157</v>
      </c>
      <c r="R123" t="s">
        <v>35</v>
      </c>
      <c r="S123" t="s">
        <v>36</v>
      </c>
      <c r="T123" t="s">
        <v>37</v>
      </c>
    </row>
    <row r="124" spans="1:27" ht="14.5">
      <c r="A124">
        <v>123</v>
      </c>
      <c r="B124" t="s">
        <v>866</v>
      </c>
      <c r="C124" t="s">
        <v>867</v>
      </c>
      <c r="D124" t="s">
        <v>868</v>
      </c>
      <c r="E124" t="s">
        <v>869</v>
      </c>
      <c r="F124" t="s">
        <v>870</v>
      </c>
      <c r="G124">
        <v>2019</v>
      </c>
      <c r="H124" t="s">
        <v>67</v>
      </c>
      <c r="I124" t="s">
        <v>417</v>
      </c>
      <c r="J124" t="s">
        <v>29</v>
      </c>
      <c r="K124" t="s">
        <v>29</v>
      </c>
      <c r="O124" t="s">
        <v>29</v>
      </c>
      <c r="P124" t="s">
        <v>871</v>
      </c>
      <c r="Q124" t="s">
        <v>124</v>
      </c>
      <c r="R124" t="s">
        <v>35</v>
      </c>
      <c r="S124" t="s">
        <v>36</v>
      </c>
      <c r="T124" t="s">
        <v>36</v>
      </c>
      <c r="U124" t="s">
        <v>36</v>
      </c>
      <c r="V124" t="s">
        <v>36</v>
      </c>
      <c r="W124" t="s">
        <v>36</v>
      </c>
      <c r="X124" t="s">
        <v>36</v>
      </c>
      <c r="Y124" t="s">
        <v>36</v>
      </c>
      <c r="Z124" t="s">
        <v>36</v>
      </c>
      <c r="AA124" t="s">
        <v>37</v>
      </c>
    </row>
    <row r="125" spans="1:27" ht="14.5">
      <c r="A125">
        <v>124</v>
      </c>
      <c r="B125" t="s">
        <v>872</v>
      </c>
      <c r="C125" t="s">
        <v>873</v>
      </c>
      <c r="D125" t="s">
        <v>874</v>
      </c>
      <c r="E125" t="s">
        <v>875</v>
      </c>
      <c r="F125" t="s">
        <v>876</v>
      </c>
      <c r="G125">
        <v>2023</v>
      </c>
      <c r="H125" t="s">
        <v>877</v>
      </c>
      <c r="I125" t="s">
        <v>29</v>
      </c>
      <c r="J125" t="s">
        <v>29</v>
      </c>
      <c r="K125" t="s">
        <v>29</v>
      </c>
      <c r="L125">
        <v>44</v>
      </c>
      <c r="M125">
        <v>51</v>
      </c>
      <c r="N125">
        <v>7</v>
      </c>
      <c r="O125" t="s">
        <v>878</v>
      </c>
      <c r="P125" t="s">
        <v>879</v>
      </c>
      <c r="Q125" t="s">
        <v>124</v>
      </c>
      <c r="R125" t="s">
        <v>35</v>
      </c>
      <c r="S125" t="s">
        <v>36</v>
      </c>
      <c r="T125" t="s">
        <v>36</v>
      </c>
      <c r="U125" t="s">
        <v>36</v>
      </c>
      <c r="V125" t="s">
        <v>36</v>
      </c>
      <c r="W125" t="s">
        <v>36</v>
      </c>
      <c r="X125" t="s">
        <v>36</v>
      </c>
      <c r="Y125" t="s">
        <v>36</v>
      </c>
      <c r="Z125" t="s">
        <v>36</v>
      </c>
      <c r="AA125" t="s">
        <v>37</v>
      </c>
    </row>
    <row r="126" spans="1:27" s="50" customFormat="1" ht="14.5">
      <c r="A126" s="50">
        <v>125</v>
      </c>
      <c r="B126" s="50" t="s">
        <v>880</v>
      </c>
      <c r="C126" s="50" t="s">
        <v>881</v>
      </c>
      <c r="E126" s="50" t="s">
        <v>882</v>
      </c>
      <c r="F126" s="50" t="s">
        <v>883</v>
      </c>
      <c r="G126" s="50">
        <v>2021</v>
      </c>
      <c r="O126" s="50" t="s">
        <v>884</v>
      </c>
      <c r="P126" s="50" t="s">
        <v>885</v>
      </c>
      <c r="Q126" s="50" t="s">
        <v>310</v>
      </c>
      <c r="R126" s="50" t="s">
        <v>311</v>
      </c>
      <c r="S126" s="50" t="s">
        <v>36</v>
      </c>
      <c r="T126" s="50" t="s">
        <v>36</v>
      </c>
      <c r="U126" t="s">
        <v>37</v>
      </c>
    </row>
    <row r="127" spans="1:27" ht="14.5">
      <c r="A127">
        <v>126</v>
      </c>
      <c r="B127" t="s">
        <v>886</v>
      </c>
      <c r="C127" t="s">
        <v>887</v>
      </c>
      <c r="D127" t="s">
        <v>888</v>
      </c>
      <c r="E127" t="s">
        <v>889</v>
      </c>
      <c r="F127" t="s">
        <v>890</v>
      </c>
      <c r="G127">
        <v>2023</v>
      </c>
      <c r="H127" t="s">
        <v>79</v>
      </c>
      <c r="I127" t="s">
        <v>339</v>
      </c>
      <c r="J127" t="s">
        <v>29</v>
      </c>
      <c r="K127" t="s">
        <v>29</v>
      </c>
      <c r="L127">
        <v>41</v>
      </c>
      <c r="M127">
        <v>52</v>
      </c>
      <c r="N127">
        <v>11</v>
      </c>
      <c r="O127" t="s">
        <v>891</v>
      </c>
      <c r="P127" t="s">
        <v>892</v>
      </c>
      <c r="Q127" t="s">
        <v>124</v>
      </c>
      <c r="R127" t="s">
        <v>35</v>
      </c>
      <c r="S127" t="s">
        <v>36</v>
      </c>
      <c r="T127" t="s">
        <v>36</v>
      </c>
      <c r="U127" t="s">
        <v>36</v>
      </c>
      <c r="V127" t="s">
        <v>36</v>
      </c>
      <c r="W127" t="s">
        <v>36</v>
      </c>
      <c r="X127" t="s">
        <v>36</v>
      </c>
      <c r="Y127" t="s">
        <v>36</v>
      </c>
      <c r="Z127" t="s">
        <v>36</v>
      </c>
      <c r="AA127" t="s">
        <v>37</v>
      </c>
    </row>
    <row r="128" spans="1:27" ht="14.5">
      <c r="A128">
        <v>127</v>
      </c>
      <c r="B128" t="s">
        <v>893</v>
      </c>
      <c r="C128" t="s">
        <v>894</v>
      </c>
      <c r="D128" t="s">
        <v>895</v>
      </c>
      <c r="E128" t="s">
        <v>896</v>
      </c>
      <c r="F128" t="s">
        <v>897</v>
      </c>
      <c r="G128">
        <v>2022</v>
      </c>
      <c r="H128" t="s">
        <v>67</v>
      </c>
      <c r="I128" t="s">
        <v>97</v>
      </c>
      <c r="J128" t="s">
        <v>29</v>
      </c>
      <c r="K128" t="s">
        <v>29</v>
      </c>
      <c r="O128" t="s">
        <v>29</v>
      </c>
      <c r="P128" t="s">
        <v>898</v>
      </c>
      <c r="Q128" t="s">
        <v>124</v>
      </c>
      <c r="R128" t="s">
        <v>35</v>
      </c>
      <c r="S128" t="s">
        <v>36</v>
      </c>
      <c r="T128" t="s">
        <v>36</v>
      </c>
      <c r="U128" t="s">
        <v>36</v>
      </c>
      <c r="V128" t="s">
        <v>36</v>
      </c>
      <c r="W128" t="s">
        <v>36</v>
      </c>
      <c r="X128" t="s">
        <v>36</v>
      </c>
      <c r="Y128" t="s">
        <v>36</v>
      </c>
      <c r="Z128" t="s">
        <v>36</v>
      </c>
      <c r="AA128" t="s">
        <v>37</v>
      </c>
    </row>
    <row r="129" spans="1:27" ht="14.5">
      <c r="A129">
        <v>128</v>
      </c>
      <c r="B129" t="s">
        <v>899</v>
      </c>
      <c r="C129" t="s">
        <v>900</v>
      </c>
      <c r="D129" t="s">
        <v>901</v>
      </c>
      <c r="E129" t="s">
        <v>902</v>
      </c>
      <c r="F129" t="s">
        <v>903</v>
      </c>
      <c r="G129">
        <v>2023</v>
      </c>
      <c r="H129" t="s">
        <v>904</v>
      </c>
      <c r="I129" t="s">
        <v>777</v>
      </c>
      <c r="J129" t="s">
        <v>165</v>
      </c>
      <c r="K129" t="s">
        <v>29</v>
      </c>
      <c r="L129">
        <v>343</v>
      </c>
      <c r="M129">
        <v>354</v>
      </c>
      <c r="N129">
        <v>11</v>
      </c>
      <c r="O129" t="s">
        <v>905</v>
      </c>
      <c r="P129" t="s">
        <v>906</v>
      </c>
      <c r="Q129" t="s">
        <v>157</v>
      </c>
      <c r="R129" t="s">
        <v>35</v>
      </c>
      <c r="S129" t="s">
        <v>36</v>
      </c>
      <c r="T129" t="s">
        <v>36</v>
      </c>
      <c r="U129" t="s">
        <v>36</v>
      </c>
      <c r="V129" t="s">
        <v>36</v>
      </c>
      <c r="W129" t="s">
        <v>36</v>
      </c>
      <c r="X129" t="s">
        <v>36</v>
      </c>
      <c r="Y129" t="s">
        <v>36</v>
      </c>
      <c r="Z129" t="s">
        <v>36</v>
      </c>
      <c r="AA129" t="s">
        <v>37</v>
      </c>
    </row>
    <row r="130" spans="1:27" ht="14.5">
      <c r="A130">
        <v>129</v>
      </c>
      <c r="B130" t="s">
        <v>907</v>
      </c>
      <c r="C130" t="s">
        <v>908</v>
      </c>
      <c r="D130" t="s">
        <v>909</v>
      </c>
      <c r="E130" t="s">
        <v>910</v>
      </c>
      <c r="F130" t="s">
        <v>911</v>
      </c>
      <c r="G130">
        <v>2020</v>
      </c>
      <c r="H130" t="s">
        <v>424</v>
      </c>
      <c r="I130" t="s">
        <v>29</v>
      </c>
      <c r="J130" t="s">
        <v>29</v>
      </c>
      <c r="K130" t="s">
        <v>912</v>
      </c>
      <c r="L130">
        <v>52</v>
      </c>
      <c r="M130">
        <v>60</v>
      </c>
      <c r="N130">
        <v>8</v>
      </c>
      <c r="O130" t="s">
        <v>913</v>
      </c>
      <c r="P130" t="s">
        <v>914</v>
      </c>
      <c r="Q130" t="s">
        <v>124</v>
      </c>
      <c r="R130" t="s">
        <v>35</v>
      </c>
      <c r="S130" t="s">
        <v>36</v>
      </c>
      <c r="T130" t="s">
        <v>36</v>
      </c>
      <c r="U130" t="s">
        <v>36</v>
      </c>
      <c r="V130" t="s">
        <v>36</v>
      </c>
      <c r="W130" t="s">
        <v>36</v>
      </c>
      <c r="X130" t="s">
        <v>36</v>
      </c>
      <c r="Y130" t="s">
        <v>36</v>
      </c>
      <c r="Z130" t="s">
        <v>37</v>
      </c>
    </row>
    <row r="131" spans="1:27" s="42" customFormat="1" ht="14.5">
      <c r="A131" s="42">
        <v>130</v>
      </c>
      <c r="B131" s="42" t="s">
        <v>915</v>
      </c>
      <c r="C131" s="42" t="s">
        <v>916</v>
      </c>
      <c r="D131" s="42" t="s">
        <v>917</v>
      </c>
      <c r="E131" s="42" t="s">
        <v>918</v>
      </c>
      <c r="F131" s="42" t="s">
        <v>919</v>
      </c>
      <c r="G131" s="42">
        <v>2021</v>
      </c>
      <c r="H131" s="42" t="s">
        <v>79</v>
      </c>
      <c r="I131" s="42" t="s">
        <v>920</v>
      </c>
      <c r="J131" s="42" t="s">
        <v>29</v>
      </c>
      <c r="K131" s="42" t="s">
        <v>29</v>
      </c>
      <c r="L131" s="42">
        <v>153</v>
      </c>
      <c r="M131" s="42">
        <v>156</v>
      </c>
      <c r="N131" s="42">
        <v>3</v>
      </c>
      <c r="O131" s="42" t="s">
        <v>921</v>
      </c>
      <c r="P131" s="42" t="s">
        <v>922</v>
      </c>
      <c r="Q131" s="42" t="s">
        <v>124</v>
      </c>
      <c r="R131" s="42" t="s">
        <v>35</v>
      </c>
      <c r="S131" s="42" t="s">
        <v>36</v>
      </c>
      <c r="T131" s="42" t="s">
        <v>36</v>
      </c>
      <c r="U131" s="42" t="s">
        <v>36</v>
      </c>
      <c r="V131" s="42" t="s">
        <v>36</v>
      </c>
      <c r="W131" s="42" t="s">
        <v>36</v>
      </c>
      <c r="X131" s="42" t="s">
        <v>36</v>
      </c>
      <c r="Y131" s="42" t="s">
        <v>36</v>
      </c>
      <c r="Z131" s="42" t="s">
        <v>36</v>
      </c>
      <c r="AA131" s="42" t="s">
        <v>36</v>
      </c>
    </row>
    <row r="132" spans="1:27" ht="14.5">
      <c r="A132">
        <v>131</v>
      </c>
      <c r="B132" t="s">
        <v>923</v>
      </c>
      <c r="C132" t="s">
        <v>924</v>
      </c>
      <c r="E132" t="s">
        <v>925</v>
      </c>
      <c r="G132">
        <v>2021</v>
      </c>
      <c r="H132" t="s">
        <v>926</v>
      </c>
      <c r="O132" t="s">
        <v>927</v>
      </c>
      <c r="P132" t="s">
        <v>928</v>
      </c>
      <c r="Q132" t="s">
        <v>310</v>
      </c>
      <c r="R132" t="s">
        <v>311</v>
      </c>
      <c r="S132" t="s">
        <v>37</v>
      </c>
    </row>
    <row r="133" spans="1:27" ht="14.5">
      <c r="A133">
        <v>132</v>
      </c>
      <c r="B133" t="s">
        <v>929</v>
      </c>
      <c r="C133" t="s">
        <v>930</v>
      </c>
      <c r="D133" t="s">
        <v>931</v>
      </c>
      <c r="E133" t="s">
        <v>932</v>
      </c>
      <c r="F133" t="s">
        <v>933</v>
      </c>
      <c r="G133">
        <v>2009</v>
      </c>
      <c r="H133" t="s">
        <v>934</v>
      </c>
      <c r="I133" t="s">
        <v>935</v>
      </c>
      <c r="J133" t="s">
        <v>29</v>
      </c>
      <c r="K133" t="s">
        <v>29</v>
      </c>
      <c r="N133">
        <v>10</v>
      </c>
      <c r="O133" t="s">
        <v>29</v>
      </c>
      <c r="P133" t="s">
        <v>936</v>
      </c>
      <c r="Q133" t="s">
        <v>124</v>
      </c>
      <c r="R133" t="s">
        <v>35</v>
      </c>
      <c r="S133" t="s">
        <v>36</v>
      </c>
      <c r="T133" t="s">
        <v>37</v>
      </c>
    </row>
    <row r="134" spans="1:27" ht="14.5">
      <c r="A134">
        <v>133</v>
      </c>
      <c r="B134" t="s">
        <v>937</v>
      </c>
      <c r="C134" t="s">
        <v>938</v>
      </c>
      <c r="D134" t="s">
        <v>939</v>
      </c>
      <c r="E134" t="s">
        <v>940</v>
      </c>
      <c r="F134" t="s">
        <v>941</v>
      </c>
      <c r="G134">
        <v>2016</v>
      </c>
      <c r="H134" t="s">
        <v>942</v>
      </c>
      <c r="I134" t="s">
        <v>29</v>
      </c>
      <c r="J134" t="s">
        <v>29</v>
      </c>
      <c r="K134" t="s">
        <v>943</v>
      </c>
      <c r="O134" t="s">
        <v>944</v>
      </c>
      <c r="P134" t="s">
        <v>945</v>
      </c>
      <c r="Q134" t="s">
        <v>946</v>
      </c>
      <c r="R134" t="s">
        <v>35</v>
      </c>
      <c r="S134" t="s">
        <v>36</v>
      </c>
      <c r="T134" t="s">
        <v>37</v>
      </c>
    </row>
    <row r="135" spans="1:27" ht="14.5">
      <c r="A135">
        <v>134</v>
      </c>
      <c r="B135" t="s">
        <v>947</v>
      </c>
      <c r="C135" t="s">
        <v>948</v>
      </c>
      <c r="D135" t="s">
        <v>949</v>
      </c>
      <c r="E135" t="s">
        <v>950</v>
      </c>
      <c r="F135" t="s">
        <v>951</v>
      </c>
      <c r="G135">
        <v>2017</v>
      </c>
      <c r="H135" t="s">
        <v>952</v>
      </c>
      <c r="I135" t="s">
        <v>29</v>
      </c>
      <c r="J135" t="s">
        <v>29</v>
      </c>
      <c r="K135" t="s">
        <v>953</v>
      </c>
      <c r="L135">
        <v>459</v>
      </c>
      <c r="M135">
        <v>463</v>
      </c>
      <c r="N135">
        <v>4</v>
      </c>
      <c r="O135" t="s">
        <v>954</v>
      </c>
      <c r="P135" t="s">
        <v>955</v>
      </c>
      <c r="Q135" t="s">
        <v>124</v>
      </c>
      <c r="R135" t="s">
        <v>35</v>
      </c>
      <c r="S135" t="s">
        <v>36</v>
      </c>
      <c r="T135" t="s">
        <v>37</v>
      </c>
    </row>
    <row r="136" spans="1:27" ht="14.5">
      <c r="A136">
        <v>135</v>
      </c>
      <c r="B136" t="s">
        <v>956</v>
      </c>
      <c r="C136" t="s">
        <v>957</v>
      </c>
      <c r="D136" t="s">
        <v>958</v>
      </c>
      <c r="E136" t="s">
        <v>959</v>
      </c>
      <c r="F136" t="s">
        <v>960</v>
      </c>
      <c r="G136">
        <v>2020</v>
      </c>
      <c r="H136" t="s">
        <v>961</v>
      </c>
      <c r="I136" t="s">
        <v>29</v>
      </c>
      <c r="J136" t="s">
        <v>29</v>
      </c>
      <c r="K136" t="s">
        <v>962</v>
      </c>
      <c r="L136">
        <v>52</v>
      </c>
      <c r="M136">
        <v>60</v>
      </c>
      <c r="N136">
        <v>8</v>
      </c>
      <c r="O136" t="s">
        <v>963</v>
      </c>
      <c r="P136" t="s">
        <v>964</v>
      </c>
      <c r="Q136" t="s">
        <v>124</v>
      </c>
      <c r="R136" t="s">
        <v>35</v>
      </c>
      <c r="S136" t="s">
        <v>36</v>
      </c>
      <c r="T136" t="s">
        <v>36</v>
      </c>
      <c r="U136" t="s">
        <v>36</v>
      </c>
      <c r="V136" t="s">
        <v>36</v>
      </c>
      <c r="W136" t="s">
        <v>36</v>
      </c>
      <c r="X136" t="s">
        <v>36</v>
      </c>
      <c r="Y136" t="s">
        <v>36</v>
      </c>
      <c r="Z136" t="s">
        <v>37</v>
      </c>
    </row>
    <row r="137" spans="1:27" ht="14.5">
      <c r="A137">
        <v>136</v>
      </c>
      <c r="B137" t="s">
        <v>965</v>
      </c>
      <c r="C137" t="s">
        <v>966</v>
      </c>
      <c r="D137" t="s">
        <v>967</v>
      </c>
      <c r="E137" t="s">
        <v>968</v>
      </c>
      <c r="F137" t="s">
        <v>969</v>
      </c>
      <c r="G137">
        <v>2016</v>
      </c>
      <c r="H137" t="s">
        <v>86</v>
      </c>
      <c r="I137" t="s">
        <v>970</v>
      </c>
      <c r="J137" t="s">
        <v>29</v>
      </c>
      <c r="K137" t="s">
        <v>971</v>
      </c>
      <c r="O137" t="s">
        <v>972</v>
      </c>
      <c r="P137" t="s">
        <v>973</v>
      </c>
      <c r="Q137" t="s">
        <v>124</v>
      </c>
      <c r="R137" t="s">
        <v>35</v>
      </c>
      <c r="S137" t="s">
        <v>36</v>
      </c>
      <c r="T137" t="s">
        <v>37</v>
      </c>
    </row>
    <row r="138" spans="1:27" ht="14.5">
      <c r="A138">
        <v>137</v>
      </c>
      <c r="B138" t="s">
        <v>974</v>
      </c>
      <c r="C138" t="s">
        <v>975</v>
      </c>
      <c r="D138" t="s">
        <v>976</v>
      </c>
      <c r="E138" t="s">
        <v>977</v>
      </c>
      <c r="F138" t="s">
        <v>978</v>
      </c>
      <c r="G138">
        <v>2008</v>
      </c>
      <c r="H138" t="s">
        <v>41</v>
      </c>
      <c r="I138" t="s">
        <v>979</v>
      </c>
      <c r="J138" t="s">
        <v>29</v>
      </c>
      <c r="K138" t="s">
        <v>29</v>
      </c>
      <c r="L138">
        <v>287</v>
      </c>
      <c r="M138">
        <v>298</v>
      </c>
      <c r="N138">
        <v>11</v>
      </c>
      <c r="O138" t="s">
        <v>980</v>
      </c>
      <c r="P138" t="s">
        <v>981</v>
      </c>
      <c r="Q138" t="s">
        <v>124</v>
      </c>
      <c r="R138" t="s">
        <v>35</v>
      </c>
      <c r="S138" t="s">
        <v>36</v>
      </c>
      <c r="T138" t="s">
        <v>37</v>
      </c>
    </row>
    <row r="139" spans="1:27" ht="14.5">
      <c r="A139">
        <v>138</v>
      </c>
      <c r="B139" t="s">
        <v>982</v>
      </c>
      <c r="C139" t="s">
        <v>983</v>
      </c>
      <c r="D139" t="s">
        <v>984</v>
      </c>
      <c r="E139" t="s">
        <v>985</v>
      </c>
      <c r="F139" t="s">
        <v>986</v>
      </c>
      <c r="G139">
        <v>2010</v>
      </c>
      <c r="H139" t="s">
        <v>987</v>
      </c>
      <c r="I139" t="s">
        <v>29</v>
      </c>
      <c r="J139" t="s">
        <v>29</v>
      </c>
      <c r="K139" t="s">
        <v>988</v>
      </c>
      <c r="L139">
        <v>200</v>
      </c>
      <c r="M139">
        <v>204</v>
      </c>
      <c r="N139">
        <v>4</v>
      </c>
      <c r="O139" t="s">
        <v>989</v>
      </c>
      <c r="P139" t="s">
        <v>990</v>
      </c>
      <c r="Q139" t="s">
        <v>124</v>
      </c>
      <c r="R139" t="s">
        <v>35</v>
      </c>
      <c r="S139" t="s">
        <v>36</v>
      </c>
      <c r="T139" t="s">
        <v>37</v>
      </c>
    </row>
    <row r="140" spans="1:27" ht="14.5">
      <c r="A140">
        <v>139</v>
      </c>
      <c r="B140" t="s">
        <v>991</v>
      </c>
      <c r="C140" t="s">
        <v>992</v>
      </c>
      <c r="D140" t="s">
        <v>993</v>
      </c>
      <c r="E140" t="s">
        <v>994</v>
      </c>
      <c r="F140" t="s">
        <v>995</v>
      </c>
      <c r="G140">
        <v>2010</v>
      </c>
      <c r="H140" t="s">
        <v>996</v>
      </c>
      <c r="I140" t="s">
        <v>29</v>
      </c>
      <c r="J140" t="s">
        <v>29</v>
      </c>
      <c r="K140" t="s">
        <v>997</v>
      </c>
      <c r="L140">
        <v>412</v>
      </c>
      <c r="M140">
        <v>416</v>
      </c>
      <c r="N140">
        <v>4</v>
      </c>
      <c r="O140" t="s">
        <v>998</v>
      </c>
      <c r="P140" t="s">
        <v>999</v>
      </c>
      <c r="Q140" t="s">
        <v>124</v>
      </c>
      <c r="R140" t="s">
        <v>35</v>
      </c>
      <c r="S140" t="s">
        <v>36</v>
      </c>
      <c r="T140" t="s">
        <v>37</v>
      </c>
    </row>
    <row r="141" spans="1:27" s="42" customFormat="1" ht="14.5">
      <c r="A141" s="42">
        <v>140</v>
      </c>
      <c r="B141" s="42" t="s">
        <v>1000</v>
      </c>
      <c r="C141" s="42" t="s">
        <v>1001</v>
      </c>
      <c r="D141" s="42" t="s">
        <v>1002</v>
      </c>
      <c r="E141" s="42" t="s">
        <v>1003</v>
      </c>
      <c r="F141" s="42" t="s">
        <v>1004</v>
      </c>
      <c r="G141" s="42">
        <v>2023</v>
      </c>
      <c r="H141" s="42" t="s">
        <v>1005</v>
      </c>
      <c r="I141" s="42" t="s">
        <v>29</v>
      </c>
      <c r="J141" s="42" t="s">
        <v>29</v>
      </c>
      <c r="K141" s="42" t="s">
        <v>29</v>
      </c>
      <c r="L141" s="42">
        <v>4722</v>
      </c>
      <c r="M141" s="42">
        <v>4730</v>
      </c>
      <c r="N141" s="42">
        <v>8</v>
      </c>
      <c r="O141" s="42" t="s">
        <v>1006</v>
      </c>
      <c r="P141" s="42" t="s">
        <v>1007</v>
      </c>
      <c r="Q141" s="42" t="s">
        <v>124</v>
      </c>
      <c r="R141" s="42" t="s">
        <v>35</v>
      </c>
      <c r="S141" s="42" t="s">
        <v>36</v>
      </c>
      <c r="T141" s="42" t="s">
        <v>36</v>
      </c>
      <c r="U141" s="42" t="s">
        <v>36</v>
      </c>
      <c r="V141" s="42" t="s">
        <v>36</v>
      </c>
      <c r="W141" s="42" t="s">
        <v>36</v>
      </c>
      <c r="X141" s="42" t="s">
        <v>36</v>
      </c>
      <c r="Y141" s="42" t="s">
        <v>36</v>
      </c>
      <c r="Z141" s="42" t="s">
        <v>36</v>
      </c>
      <c r="AA141" s="42" t="s">
        <v>36</v>
      </c>
    </row>
    <row r="142" spans="1:27" ht="14.5">
      <c r="A142">
        <v>141</v>
      </c>
      <c r="B142" t="s">
        <v>1008</v>
      </c>
      <c r="C142" t="s">
        <v>1009</v>
      </c>
      <c r="D142" t="s">
        <v>1010</v>
      </c>
      <c r="E142" t="s">
        <v>1011</v>
      </c>
      <c r="F142" t="s">
        <v>1012</v>
      </c>
      <c r="G142">
        <v>2006</v>
      </c>
      <c r="H142" t="s">
        <v>1013</v>
      </c>
      <c r="I142" t="s">
        <v>1014</v>
      </c>
      <c r="J142" t="s">
        <v>29</v>
      </c>
      <c r="K142" t="s">
        <v>1015</v>
      </c>
      <c r="L142">
        <v>914</v>
      </c>
      <c r="M142">
        <v>924</v>
      </c>
      <c r="N142">
        <v>10</v>
      </c>
      <c r="O142" t="s">
        <v>1016</v>
      </c>
      <c r="P142" t="s">
        <v>1017</v>
      </c>
      <c r="Q142" t="s">
        <v>124</v>
      </c>
      <c r="R142" t="s">
        <v>35</v>
      </c>
      <c r="S142" t="s">
        <v>36</v>
      </c>
      <c r="T142" t="s">
        <v>37</v>
      </c>
    </row>
    <row r="143" spans="1:27" ht="14.5">
      <c r="A143">
        <v>142</v>
      </c>
      <c r="B143" t="s">
        <v>1018</v>
      </c>
      <c r="C143" t="s">
        <v>1019</v>
      </c>
      <c r="D143" t="s">
        <v>1020</v>
      </c>
      <c r="E143" t="s">
        <v>1021</v>
      </c>
      <c r="F143" t="s">
        <v>1022</v>
      </c>
      <c r="G143">
        <v>2021</v>
      </c>
      <c r="H143" t="s">
        <v>79</v>
      </c>
      <c r="I143" t="s">
        <v>920</v>
      </c>
      <c r="J143" t="s">
        <v>29</v>
      </c>
      <c r="K143" t="s">
        <v>29</v>
      </c>
      <c r="L143">
        <v>39</v>
      </c>
      <c r="M143">
        <v>48</v>
      </c>
      <c r="N143">
        <v>9</v>
      </c>
      <c r="O143" t="s">
        <v>1023</v>
      </c>
      <c r="P143" t="s">
        <v>1024</v>
      </c>
      <c r="Q143" t="s">
        <v>124</v>
      </c>
      <c r="R143" t="s">
        <v>35</v>
      </c>
      <c r="S143" t="s">
        <v>36</v>
      </c>
      <c r="T143" t="s">
        <v>36</v>
      </c>
      <c r="U143" t="s">
        <v>36</v>
      </c>
      <c r="V143" t="s">
        <v>36</v>
      </c>
      <c r="W143" t="s">
        <v>36</v>
      </c>
      <c r="X143" t="s">
        <v>36</v>
      </c>
      <c r="Y143" t="s">
        <v>37</v>
      </c>
    </row>
    <row r="144" spans="1:27" ht="14.5">
      <c r="A144">
        <v>143</v>
      </c>
      <c r="B144" t="s">
        <v>1025</v>
      </c>
      <c r="C144" t="s">
        <v>1026</v>
      </c>
      <c r="D144" t="s">
        <v>1027</v>
      </c>
      <c r="E144" t="s">
        <v>1028</v>
      </c>
      <c r="F144" t="s">
        <v>1029</v>
      </c>
      <c r="G144">
        <v>2023</v>
      </c>
      <c r="H144" t="s">
        <v>1030</v>
      </c>
      <c r="I144" t="s">
        <v>1031</v>
      </c>
      <c r="J144" t="s">
        <v>567</v>
      </c>
      <c r="K144" t="s">
        <v>29</v>
      </c>
      <c r="L144">
        <v>1014</v>
      </c>
      <c r="M144">
        <v>1024</v>
      </c>
      <c r="N144">
        <v>10</v>
      </c>
      <c r="O144" t="s">
        <v>1032</v>
      </c>
      <c r="P144" t="s">
        <v>1033</v>
      </c>
      <c r="Q144" t="s">
        <v>157</v>
      </c>
      <c r="R144" t="s">
        <v>35</v>
      </c>
      <c r="S144" t="s">
        <v>36</v>
      </c>
      <c r="T144" t="s">
        <v>36</v>
      </c>
      <c r="U144" t="s">
        <v>36</v>
      </c>
      <c r="V144" t="s">
        <v>36</v>
      </c>
      <c r="W144" t="s">
        <v>36</v>
      </c>
      <c r="X144" t="s">
        <v>36</v>
      </c>
      <c r="Y144" t="s">
        <v>36</v>
      </c>
      <c r="Z144" t="s">
        <v>36</v>
      </c>
      <c r="AA144" t="s">
        <v>37</v>
      </c>
    </row>
    <row r="145" spans="1:27" ht="14.5">
      <c r="A145">
        <v>144</v>
      </c>
      <c r="B145" t="s">
        <v>1034</v>
      </c>
      <c r="C145" t="s">
        <v>1035</v>
      </c>
      <c r="D145" t="s">
        <v>1036</v>
      </c>
      <c r="E145" t="s">
        <v>1037</v>
      </c>
      <c r="F145" t="s">
        <v>1038</v>
      </c>
      <c r="G145">
        <v>2019</v>
      </c>
      <c r="H145" t="s">
        <v>1039</v>
      </c>
      <c r="I145" t="s">
        <v>29</v>
      </c>
      <c r="J145" t="s">
        <v>29</v>
      </c>
      <c r="K145" t="s">
        <v>1040</v>
      </c>
      <c r="L145">
        <v>147</v>
      </c>
      <c r="M145">
        <v>153</v>
      </c>
      <c r="N145">
        <v>6</v>
      </c>
      <c r="O145" t="s">
        <v>1041</v>
      </c>
      <c r="P145" t="s">
        <v>1042</v>
      </c>
      <c r="Q145" t="s">
        <v>124</v>
      </c>
      <c r="R145" t="s">
        <v>35</v>
      </c>
      <c r="S145" t="s">
        <v>36</v>
      </c>
      <c r="T145" t="s">
        <v>36</v>
      </c>
      <c r="U145" t="s">
        <v>36</v>
      </c>
      <c r="V145" t="s">
        <v>36</v>
      </c>
      <c r="W145" t="s">
        <v>36</v>
      </c>
      <c r="X145" t="s">
        <v>36</v>
      </c>
      <c r="Y145" t="s">
        <v>36</v>
      </c>
      <c r="Z145" t="s">
        <v>36</v>
      </c>
      <c r="AA145" t="s">
        <v>37</v>
      </c>
    </row>
    <row r="146" spans="1:27" s="42" customFormat="1" ht="14.5">
      <c r="A146" s="42">
        <v>145</v>
      </c>
      <c r="B146" s="42" t="s">
        <v>1043</v>
      </c>
      <c r="C146" s="42" t="s">
        <v>1044</v>
      </c>
      <c r="D146" s="42" t="s">
        <v>1045</v>
      </c>
      <c r="E146" s="42" t="s">
        <v>1046</v>
      </c>
      <c r="F146" s="42" t="s">
        <v>1047</v>
      </c>
      <c r="G146" s="42">
        <v>2022</v>
      </c>
      <c r="H146" s="42" t="s">
        <v>1048</v>
      </c>
      <c r="I146" s="42" t="s">
        <v>29</v>
      </c>
      <c r="J146" s="42" t="s">
        <v>29</v>
      </c>
      <c r="K146" s="42" t="s">
        <v>29</v>
      </c>
      <c r="O146" s="42" t="s">
        <v>1049</v>
      </c>
      <c r="P146" s="42" t="s">
        <v>1050</v>
      </c>
      <c r="Q146" s="42" t="s">
        <v>157</v>
      </c>
      <c r="R146" s="42" t="s">
        <v>35</v>
      </c>
      <c r="S146" s="42" t="s">
        <v>36</v>
      </c>
      <c r="T146" s="42" t="s">
        <v>36</v>
      </c>
      <c r="U146" s="42" t="s">
        <v>36</v>
      </c>
      <c r="V146" s="42" t="s">
        <v>36</v>
      </c>
      <c r="W146" s="42" t="s">
        <v>36</v>
      </c>
      <c r="X146" s="42" t="s">
        <v>36</v>
      </c>
      <c r="Y146" s="42" t="s">
        <v>36</v>
      </c>
      <c r="Z146" s="42" t="s">
        <v>36</v>
      </c>
      <c r="AA146" s="42" t="s">
        <v>36</v>
      </c>
    </row>
    <row r="147" spans="1:27" ht="14.5">
      <c r="A147">
        <v>146</v>
      </c>
      <c r="B147" t="s">
        <v>1051</v>
      </c>
      <c r="C147" t="s">
        <v>1052</v>
      </c>
      <c r="D147" t="s">
        <v>1053</v>
      </c>
      <c r="E147" t="s">
        <v>1054</v>
      </c>
      <c r="F147" t="s">
        <v>1055</v>
      </c>
      <c r="G147">
        <v>2015</v>
      </c>
      <c r="H147" t="s">
        <v>1056</v>
      </c>
      <c r="I147" t="s">
        <v>1057</v>
      </c>
      <c r="J147" t="s">
        <v>29</v>
      </c>
      <c r="K147" t="s">
        <v>29</v>
      </c>
      <c r="L147">
        <v>110</v>
      </c>
      <c r="M147">
        <v>122</v>
      </c>
      <c r="N147">
        <v>12</v>
      </c>
      <c r="O147" t="s">
        <v>1058</v>
      </c>
      <c r="P147" t="s">
        <v>1059</v>
      </c>
      <c r="Q147" t="s">
        <v>157</v>
      </c>
      <c r="R147" t="s">
        <v>35</v>
      </c>
      <c r="S147" t="s">
        <v>36</v>
      </c>
      <c r="T147" t="s">
        <v>37</v>
      </c>
    </row>
    <row r="148" spans="1:27" ht="14.5">
      <c r="A148">
        <v>147</v>
      </c>
      <c r="B148" t="s">
        <v>1060</v>
      </c>
      <c r="C148" t="s">
        <v>1061</v>
      </c>
      <c r="D148" t="s">
        <v>1062</v>
      </c>
      <c r="E148" t="s">
        <v>1063</v>
      </c>
      <c r="F148" t="s">
        <v>1064</v>
      </c>
      <c r="G148">
        <v>2011</v>
      </c>
      <c r="H148" t="s">
        <v>622</v>
      </c>
      <c r="I148" t="s">
        <v>29</v>
      </c>
      <c r="J148" t="s">
        <v>29</v>
      </c>
      <c r="K148" t="s">
        <v>29</v>
      </c>
      <c r="L148">
        <v>531</v>
      </c>
      <c r="M148">
        <v>540</v>
      </c>
      <c r="N148">
        <v>9</v>
      </c>
      <c r="O148" t="s">
        <v>1065</v>
      </c>
      <c r="P148" t="s">
        <v>1066</v>
      </c>
      <c r="Q148" t="s">
        <v>124</v>
      </c>
      <c r="R148" t="s">
        <v>35</v>
      </c>
      <c r="S148" t="s">
        <v>36</v>
      </c>
      <c r="T148" t="s">
        <v>37</v>
      </c>
    </row>
    <row r="149" spans="1:27" ht="14.5">
      <c r="A149">
        <v>148</v>
      </c>
      <c r="B149" t="s">
        <v>1060</v>
      </c>
      <c r="C149" t="s">
        <v>1061</v>
      </c>
      <c r="D149" t="s">
        <v>1062</v>
      </c>
      <c r="E149" t="s">
        <v>1067</v>
      </c>
      <c r="F149" t="s">
        <v>1068</v>
      </c>
      <c r="G149">
        <v>2017</v>
      </c>
      <c r="H149" t="s">
        <v>151</v>
      </c>
      <c r="I149" t="s">
        <v>1069</v>
      </c>
      <c r="J149" t="s">
        <v>153</v>
      </c>
      <c r="K149" t="s">
        <v>29</v>
      </c>
      <c r="L149">
        <v>1</v>
      </c>
      <c r="M149">
        <v>45</v>
      </c>
      <c r="N149">
        <v>44</v>
      </c>
      <c r="O149" t="s">
        <v>1070</v>
      </c>
      <c r="P149" t="s">
        <v>1071</v>
      </c>
      <c r="Q149" t="s">
        <v>157</v>
      </c>
      <c r="R149" t="s">
        <v>35</v>
      </c>
      <c r="S149" t="s">
        <v>36</v>
      </c>
      <c r="T149" t="s">
        <v>37</v>
      </c>
    </row>
    <row r="150" spans="1:27" ht="14.5">
      <c r="A150">
        <v>149</v>
      </c>
      <c r="B150" t="s">
        <v>1072</v>
      </c>
      <c r="C150" t="s">
        <v>1073</v>
      </c>
      <c r="D150" t="s">
        <v>1074</v>
      </c>
      <c r="E150" t="s">
        <v>1075</v>
      </c>
      <c r="F150" t="s">
        <v>1076</v>
      </c>
      <c r="G150">
        <v>2019</v>
      </c>
      <c r="H150" t="s">
        <v>1077</v>
      </c>
      <c r="I150" t="s">
        <v>1078</v>
      </c>
      <c r="J150" t="s">
        <v>165</v>
      </c>
      <c r="K150" t="s">
        <v>29</v>
      </c>
      <c r="L150">
        <v>1183</v>
      </c>
      <c r="M150">
        <v>1191</v>
      </c>
      <c r="N150">
        <v>8</v>
      </c>
      <c r="O150" t="s">
        <v>1079</v>
      </c>
      <c r="P150" t="s">
        <v>1080</v>
      </c>
      <c r="Q150" t="s">
        <v>124</v>
      </c>
      <c r="R150" t="s">
        <v>35</v>
      </c>
      <c r="S150" t="s">
        <v>36</v>
      </c>
      <c r="T150" t="s">
        <v>36</v>
      </c>
      <c r="U150" t="s">
        <v>36</v>
      </c>
      <c r="V150" t="s">
        <v>36</v>
      </c>
      <c r="W150" t="s">
        <v>36</v>
      </c>
      <c r="X150" t="s">
        <v>36</v>
      </c>
      <c r="Y150" t="s">
        <v>37</v>
      </c>
    </row>
    <row r="151" spans="1:27" ht="14.5">
      <c r="A151">
        <v>150</v>
      </c>
      <c r="B151" t="s">
        <v>1081</v>
      </c>
      <c r="C151" t="s">
        <v>1082</v>
      </c>
      <c r="D151" t="s">
        <v>1083</v>
      </c>
      <c r="E151" t="s">
        <v>1084</v>
      </c>
      <c r="F151" t="s">
        <v>1085</v>
      </c>
      <c r="G151">
        <v>2022</v>
      </c>
      <c r="H151" t="s">
        <v>557</v>
      </c>
      <c r="I151" t="s">
        <v>1086</v>
      </c>
      <c r="J151" t="s">
        <v>29</v>
      </c>
      <c r="K151" t="s">
        <v>29</v>
      </c>
      <c r="L151">
        <v>2604</v>
      </c>
      <c r="M151">
        <v>2611</v>
      </c>
      <c r="N151">
        <v>7</v>
      </c>
      <c r="O151" t="s">
        <v>1087</v>
      </c>
      <c r="P151" t="s">
        <v>1088</v>
      </c>
      <c r="Q151" t="s">
        <v>124</v>
      </c>
      <c r="R151" t="s">
        <v>35</v>
      </c>
      <c r="S151" t="s">
        <v>36</v>
      </c>
      <c r="T151" t="s">
        <v>36</v>
      </c>
      <c r="U151" t="s">
        <v>36</v>
      </c>
      <c r="V151" t="s">
        <v>36</v>
      </c>
      <c r="W151" t="s">
        <v>36</v>
      </c>
      <c r="X151" t="s">
        <v>36</v>
      </c>
      <c r="Y151" t="s">
        <v>36</v>
      </c>
      <c r="Z151" t="s">
        <v>37</v>
      </c>
    </row>
    <row r="152" spans="1:27" ht="14.5">
      <c r="A152">
        <v>151</v>
      </c>
      <c r="B152" t="s">
        <v>1081</v>
      </c>
      <c r="C152" t="s">
        <v>1082</v>
      </c>
      <c r="D152" t="s">
        <v>1083</v>
      </c>
      <c r="E152" t="s">
        <v>1089</v>
      </c>
      <c r="F152" t="s">
        <v>1090</v>
      </c>
      <c r="G152">
        <v>2023</v>
      </c>
      <c r="H152" t="s">
        <v>1091</v>
      </c>
      <c r="I152" t="s">
        <v>1092</v>
      </c>
      <c r="J152" t="s">
        <v>152</v>
      </c>
      <c r="K152" t="s">
        <v>29</v>
      </c>
      <c r="L152">
        <v>22487</v>
      </c>
      <c r="M152">
        <v>22509</v>
      </c>
      <c r="N152">
        <v>22</v>
      </c>
      <c r="O152" t="s">
        <v>1093</v>
      </c>
      <c r="P152" t="s">
        <v>1094</v>
      </c>
      <c r="Q152" t="s">
        <v>157</v>
      </c>
      <c r="R152" t="s">
        <v>35</v>
      </c>
      <c r="S152" t="s">
        <v>36</v>
      </c>
      <c r="T152" t="s">
        <v>36</v>
      </c>
      <c r="U152" t="s">
        <v>36</v>
      </c>
      <c r="V152" t="s">
        <v>36</v>
      </c>
      <c r="W152" t="s">
        <v>36</v>
      </c>
      <c r="X152" t="s">
        <v>36</v>
      </c>
      <c r="Y152" t="s">
        <v>36</v>
      </c>
      <c r="Z152" t="s">
        <v>37</v>
      </c>
    </row>
    <row r="153" spans="1:27" ht="14.5">
      <c r="A153">
        <v>152</v>
      </c>
      <c r="B153" t="s">
        <v>1095</v>
      </c>
      <c r="C153" t="s">
        <v>1096</v>
      </c>
      <c r="D153" t="s">
        <v>1097</v>
      </c>
      <c r="E153" t="s">
        <v>1098</v>
      </c>
      <c r="F153" t="s">
        <v>1099</v>
      </c>
      <c r="G153">
        <v>2020</v>
      </c>
      <c r="H153" t="s">
        <v>67</v>
      </c>
      <c r="I153" t="s">
        <v>91</v>
      </c>
      <c r="J153" t="s">
        <v>29</v>
      </c>
      <c r="K153" t="s">
        <v>29</v>
      </c>
      <c r="O153" t="s">
        <v>29</v>
      </c>
      <c r="P153" t="s">
        <v>1100</v>
      </c>
      <c r="Q153" t="s">
        <v>124</v>
      </c>
      <c r="R153" t="s">
        <v>35</v>
      </c>
      <c r="S153" t="s">
        <v>36</v>
      </c>
      <c r="T153" t="s">
        <v>36</v>
      </c>
      <c r="U153" t="s">
        <v>36</v>
      </c>
      <c r="V153" t="s">
        <v>36</v>
      </c>
      <c r="W153" t="s">
        <v>36</v>
      </c>
      <c r="X153" t="s">
        <v>36</v>
      </c>
      <c r="Y153" t="s">
        <v>36</v>
      </c>
      <c r="Z153" t="s">
        <v>36</v>
      </c>
      <c r="AA153" t="s">
        <v>37</v>
      </c>
    </row>
    <row r="154" spans="1:27" ht="14.5">
      <c r="A154">
        <v>153</v>
      </c>
      <c r="B154" t="s">
        <v>1101</v>
      </c>
      <c r="C154" t="s">
        <v>1102</v>
      </c>
      <c r="E154" t="s">
        <v>1103</v>
      </c>
      <c r="F154" t="s">
        <v>1104</v>
      </c>
      <c r="G154">
        <v>2022</v>
      </c>
      <c r="O154" t="s">
        <v>1105</v>
      </c>
      <c r="P154" t="s">
        <v>1106</v>
      </c>
      <c r="Q154" t="s">
        <v>310</v>
      </c>
      <c r="R154" t="s">
        <v>311</v>
      </c>
      <c r="S154" t="s">
        <v>36</v>
      </c>
      <c r="T154" t="s">
        <v>36</v>
      </c>
      <c r="U154" t="s">
        <v>37</v>
      </c>
    </row>
    <row r="155" spans="1:27" ht="14.5">
      <c r="A155">
        <v>154</v>
      </c>
      <c r="B155" t="s">
        <v>1107</v>
      </c>
      <c r="C155" t="s">
        <v>1108</v>
      </c>
      <c r="D155" t="s">
        <v>1109</v>
      </c>
      <c r="E155" t="s">
        <v>1110</v>
      </c>
      <c r="F155" t="s">
        <v>1111</v>
      </c>
      <c r="G155">
        <v>2014</v>
      </c>
      <c r="H155" t="s">
        <v>41</v>
      </c>
      <c r="I155" t="s">
        <v>657</v>
      </c>
      <c r="J155" t="s">
        <v>29</v>
      </c>
      <c r="K155" t="s">
        <v>29</v>
      </c>
      <c r="L155">
        <v>39</v>
      </c>
      <c r="M155">
        <v>54</v>
      </c>
      <c r="N155">
        <v>15</v>
      </c>
      <c r="O155" t="s">
        <v>1112</v>
      </c>
      <c r="P155" t="s">
        <v>1113</v>
      </c>
      <c r="Q155" t="s">
        <v>124</v>
      </c>
      <c r="R155" t="s">
        <v>35</v>
      </c>
      <c r="S155" t="s">
        <v>36</v>
      </c>
      <c r="T155" t="s">
        <v>37</v>
      </c>
    </row>
    <row r="156" spans="1:27" ht="14.5">
      <c r="A156">
        <v>155</v>
      </c>
      <c r="B156" t="s">
        <v>1114</v>
      </c>
      <c r="C156" t="s">
        <v>1115</v>
      </c>
      <c r="D156" t="s">
        <v>1116</v>
      </c>
      <c r="E156" t="s">
        <v>1117</v>
      </c>
      <c r="F156" t="s">
        <v>1118</v>
      </c>
      <c r="G156">
        <v>2018</v>
      </c>
      <c r="H156" t="s">
        <v>1119</v>
      </c>
      <c r="I156" t="s">
        <v>29</v>
      </c>
      <c r="J156" t="s">
        <v>29</v>
      </c>
      <c r="K156" t="s">
        <v>1120</v>
      </c>
      <c r="L156">
        <v>876</v>
      </c>
      <c r="M156">
        <v>880</v>
      </c>
      <c r="N156">
        <v>4</v>
      </c>
      <c r="O156" t="s">
        <v>1121</v>
      </c>
      <c r="P156" t="s">
        <v>1122</v>
      </c>
      <c r="Q156" t="s">
        <v>124</v>
      </c>
      <c r="R156" t="s">
        <v>35</v>
      </c>
      <c r="S156" t="s">
        <v>36</v>
      </c>
      <c r="T156" t="s">
        <v>37</v>
      </c>
    </row>
    <row r="157" spans="1:27" ht="14.5">
      <c r="A157">
        <v>156</v>
      </c>
      <c r="B157" t="s">
        <v>1123</v>
      </c>
      <c r="C157" t="s">
        <v>1124</v>
      </c>
      <c r="D157" t="s">
        <v>1125</v>
      </c>
      <c r="E157" t="s">
        <v>1126</v>
      </c>
      <c r="F157" t="s">
        <v>1127</v>
      </c>
      <c r="G157">
        <v>2022</v>
      </c>
      <c r="H157" t="s">
        <v>67</v>
      </c>
      <c r="I157" t="s">
        <v>1128</v>
      </c>
      <c r="J157" t="s">
        <v>29</v>
      </c>
      <c r="K157" t="s">
        <v>29</v>
      </c>
      <c r="L157">
        <v>200</v>
      </c>
      <c r="M157">
        <v>211</v>
      </c>
      <c r="N157">
        <v>11</v>
      </c>
      <c r="O157" t="s">
        <v>29</v>
      </c>
      <c r="P157" t="s">
        <v>1129</v>
      </c>
      <c r="Q157" t="s">
        <v>124</v>
      </c>
      <c r="R157" t="s">
        <v>35</v>
      </c>
      <c r="S157" t="s">
        <v>36</v>
      </c>
      <c r="T157" t="s">
        <v>36</v>
      </c>
      <c r="U157" t="s">
        <v>36</v>
      </c>
      <c r="V157" t="s">
        <v>36</v>
      </c>
      <c r="W157" t="s">
        <v>36</v>
      </c>
      <c r="X157" t="s">
        <v>36</v>
      </c>
      <c r="Y157" t="s">
        <v>37</v>
      </c>
    </row>
    <row r="158" spans="1:27" ht="14.5">
      <c r="A158">
        <v>157</v>
      </c>
      <c r="B158" t="s">
        <v>1130</v>
      </c>
      <c r="C158" t="s">
        <v>1131</v>
      </c>
      <c r="E158" t="s">
        <v>1132</v>
      </c>
      <c r="F158" t="s">
        <v>1133</v>
      </c>
      <c r="G158">
        <v>2023</v>
      </c>
      <c r="O158" t="s">
        <v>1134</v>
      </c>
      <c r="P158" t="s">
        <v>1135</v>
      </c>
      <c r="Q158" t="s">
        <v>310</v>
      </c>
      <c r="R158" t="s">
        <v>311</v>
      </c>
      <c r="S158" t="s">
        <v>36</v>
      </c>
      <c r="T158" t="s">
        <v>36</v>
      </c>
      <c r="U158" t="s">
        <v>37</v>
      </c>
    </row>
    <row r="159" spans="1:27" s="42" customFormat="1" ht="14.5">
      <c r="A159" s="42">
        <v>158</v>
      </c>
      <c r="B159" s="42" t="s">
        <v>1136</v>
      </c>
      <c r="C159" s="42" t="s">
        <v>1137</v>
      </c>
      <c r="E159" s="42" t="s">
        <v>1138</v>
      </c>
      <c r="F159" s="42" t="s">
        <v>1139</v>
      </c>
      <c r="G159" s="42">
        <v>2024</v>
      </c>
      <c r="O159" s="42" t="s">
        <v>1140</v>
      </c>
      <c r="P159" s="42" t="s">
        <v>1141</v>
      </c>
      <c r="Q159" s="42" t="s">
        <v>124</v>
      </c>
      <c r="R159" s="42" t="s">
        <v>35</v>
      </c>
      <c r="S159" s="42" t="s">
        <v>36</v>
      </c>
      <c r="T159" s="42" t="s">
        <v>36</v>
      </c>
      <c r="U159" s="42" t="s">
        <v>36</v>
      </c>
      <c r="V159" s="42" t="s">
        <v>36</v>
      </c>
      <c r="W159" s="42" t="s">
        <v>36</v>
      </c>
      <c r="X159" s="42" t="s">
        <v>36</v>
      </c>
      <c r="Y159" s="42" t="s">
        <v>36</v>
      </c>
      <c r="Z159" s="42" t="s">
        <v>36</v>
      </c>
      <c r="AA159" s="42" t="s">
        <v>36</v>
      </c>
    </row>
    <row r="160" spans="1:27" ht="14.5">
      <c r="A160">
        <v>159</v>
      </c>
      <c r="B160" t="s">
        <v>1142</v>
      </c>
      <c r="C160" t="s">
        <v>1143</v>
      </c>
      <c r="D160" t="s">
        <v>1144</v>
      </c>
      <c r="E160" t="s">
        <v>1145</v>
      </c>
      <c r="F160" t="s">
        <v>1146</v>
      </c>
      <c r="G160">
        <v>2019</v>
      </c>
      <c r="H160" t="s">
        <v>67</v>
      </c>
      <c r="I160" t="s">
        <v>1147</v>
      </c>
      <c r="J160" t="s">
        <v>29</v>
      </c>
      <c r="K160" t="s">
        <v>29</v>
      </c>
      <c r="L160">
        <v>53</v>
      </c>
      <c r="M160">
        <v>60</v>
      </c>
      <c r="N160">
        <v>7</v>
      </c>
      <c r="O160" t="s">
        <v>29</v>
      </c>
      <c r="P160" t="s">
        <v>1148</v>
      </c>
      <c r="Q160" t="s">
        <v>124</v>
      </c>
      <c r="R160" t="s">
        <v>35</v>
      </c>
      <c r="S160" t="s">
        <v>36</v>
      </c>
      <c r="T160" t="s">
        <v>36</v>
      </c>
      <c r="U160" t="s">
        <v>36</v>
      </c>
      <c r="V160" t="s">
        <v>36</v>
      </c>
      <c r="W160" t="s">
        <v>36</v>
      </c>
      <c r="X160" t="s">
        <v>36</v>
      </c>
      <c r="Y160" t="s">
        <v>36</v>
      </c>
      <c r="Z160" t="s">
        <v>36</v>
      </c>
      <c r="AA160" t="s">
        <v>37</v>
      </c>
    </row>
    <row r="161" spans="1:26" ht="14.5">
      <c r="A161">
        <v>160</v>
      </c>
      <c r="B161" t="s">
        <v>1149</v>
      </c>
      <c r="C161" t="s">
        <v>1150</v>
      </c>
      <c r="D161" t="s">
        <v>1151</v>
      </c>
      <c r="E161" t="s">
        <v>1152</v>
      </c>
      <c r="F161" t="s">
        <v>1153</v>
      </c>
      <c r="G161">
        <v>2006</v>
      </c>
      <c r="H161" t="s">
        <v>1154</v>
      </c>
      <c r="I161" t="s">
        <v>486</v>
      </c>
      <c r="J161" t="s">
        <v>508</v>
      </c>
      <c r="K161" t="s">
        <v>29</v>
      </c>
      <c r="L161">
        <v>487</v>
      </c>
      <c r="M161">
        <v>503</v>
      </c>
      <c r="N161">
        <v>16</v>
      </c>
      <c r="O161" t="s">
        <v>1155</v>
      </c>
      <c r="P161" t="s">
        <v>1156</v>
      </c>
      <c r="Q161" t="s">
        <v>157</v>
      </c>
      <c r="R161" t="s">
        <v>35</v>
      </c>
      <c r="S161" t="s">
        <v>36</v>
      </c>
      <c r="T161" t="s">
        <v>37</v>
      </c>
    </row>
    <row r="162" spans="1:26" ht="14.5">
      <c r="A162">
        <v>161</v>
      </c>
      <c r="B162" t="s">
        <v>1157</v>
      </c>
      <c r="C162" t="s">
        <v>1158</v>
      </c>
      <c r="D162" t="s">
        <v>1159</v>
      </c>
      <c r="E162" t="s">
        <v>1160</v>
      </c>
      <c r="F162" t="s">
        <v>1161</v>
      </c>
      <c r="G162">
        <v>2012</v>
      </c>
      <c r="H162" t="s">
        <v>1162</v>
      </c>
      <c r="I162" t="s">
        <v>165</v>
      </c>
      <c r="J162" t="s">
        <v>1163</v>
      </c>
      <c r="K162" t="s">
        <v>29</v>
      </c>
      <c r="L162">
        <v>541</v>
      </c>
      <c r="M162">
        <v>549</v>
      </c>
      <c r="N162">
        <v>8</v>
      </c>
      <c r="O162" t="s">
        <v>1164</v>
      </c>
      <c r="P162" t="s">
        <v>1165</v>
      </c>
      <c r="Q162" t="s">
        <v>124</v>
      </c>
      <c r="R162" t="s">
        <v>35</v>
      </c>
      <c r="S162" t="s">
        <v>36</v>
      </c>
      <c r="T162" t="s">
        <v>37</v>
      </c>
    </row>
    <row r="163" spans="1:26" ht="14.5">
      <c r="A163">
        <v>162</v>
      </c>
      <c r="B163" t="s">
        <v>1166</v>
      </c>
      <c r="C163" t="s">
        <v>1167</v>
      </c>
      <c r="D163" t="s">
        <v>1168</v>
      </c>
      <c r="E163" t="s">
        <v>1169</v>
      </c>
      <c r="F163" t="s">
        <v>1170</v>
      </c>
      <c r="G163">
        <v>2017</v>
      </c>
      <c r="H163" t="s">
        <v>1171</v>
      </c>
      <c r="I163" t="s">
        <v>29</v>
      </c>
      <c r="J163" t="s">
        <v>29</v>
      </c>
      <c r="K163" t="s">
        <v>1172</v>
      </c>
      <c r="L163">
        <v>472</v>
      </c>
      <c r="M163">
        <v>473</v>
      </c>
      <c r="N163">
        <v>1</v>
      </c>
      <c r="O163" t="s">
        <v>1173</v>
      </c>
      <c r="P163" t="s">
        <v>1174</v>
      </c>
      <c r="Q163" t="s">
        <v>124</v>
      </c>
      <c r="R163" t="s">
        <v>35</v>
      </c>
      <c r="S163" t="s">
        <v>36</v>
      </c>
      <c r="T163" t="s">
        <v>37</v>
      </c>
    </row>
    <row r="164" spans="1:26" ht="14.5">
      <c r="A164">
        <v>163</v>
      </c>
      <c r="B164" t="s">
        <v>1175</v>
      </c>
      <c r="C164" t="s">
        <v>1176</v>
      </c>
      <c r="D164" t="s">
        <v>1177</v>
      </c>
      <c r="E164" t="s">
        <v>1178</v>
      </c>
      <c r="F164" t="s">
        <v>1179</v>
      </c>
      <c r="G164">
        <v>2006</v>
      </c>
      <c r="H164" t="s">
        <v>1180</v>
      </c>
      <c r="I164" t="s">
        <v>1181</v>
      </c>
      <c r="J164" t="s">
        <v>518</v>
      </c>
      <c r="K164" t="s">
        <v>29</v>
      </c>
      <c r="L164">
        <v>20</v>
      </c>
      <c r="M164">
        <v>24</v>
      </c>
      <c r="N164">
        <v>4</v>
      </c>
      <c r="O164" t="s">
        <v>29</v>
      </c>
      <c r="P164" t="s">
        <v>1182</v>
      </c>
      <c r="Q164" t="s">
        <v>157</v>
      </c>
      <c r="R164" t="s">
        <v>35</v>
      </c>
      <c r="S164" t="s">
        <v>36</v>
      </c>
      <c r="T164" t="s">
        <v>37</v>
      </c>
    </row>
    <row r="165" spans="1:26" ht="14.5">
      <c r="A165">
        <v>164</v>
      </c>
      <c r="B165" t="s">
        <v>1183</v>
      </c>
      <c r="C165" t="s">
        <v>1184</v>
      </c>
      <c r="D165" t="s">
        <v>1185</v>
      </c>
      <c r="E165" t="s">
        <v>1186</v>
      </c>
      <c r="F165" t="s">
        <v>1187</v>
      </c>
      <c r="G165">
        <v>1998</v>
      </c>
      <c r="H165" t="s">
        <v>1188</v>
      </c>
      <c r="I165" t="s">
        <v>1069</v>
      </c>
      <c r="J165" t="s">
        <v>518</v>
      </c>
      <c r="K165" t="s">
        <v>29</v>
      </c>
      <c r="L165">
        <v>1115</v>
      </c>
      <c r="M165">
        <v>1130</v>
      </c>
      <c r="N165">
        <v>15</v>
      </c>
      <c r="O165" t="s">
        <v>1189</v>
      </c>
      <c r="P165" t="s">
        <v>1190</v>
      </c>
      <c r="Q165" t="s">
        <v>157</v>
      </c>
      <c r="R165" t="s">
        <v>35</v>
      </c>
      <c r="S165" t="s">
        <v>36</v>
      </c>
      <c r="T165" t="s">
        <v>37</v>
      </c>
    </row>
    <row r="166" spans="1:26" ht="14.5">
      <c r="A166">
        <v>165</v>
      </c>
      <c r="B166" t="s">
        <v>1191</v>
      </c>
      <c r="C166" t="s">
        <v>1192</v>
      </c>
      <c r="D166" t="s">
        <v>1193</v>
      </c>
      <c r="E166" t="s">
        <v>1194</v>
      </c>
      <c r="F166" t="s">
        <v>1195</v>
      </c>
      <c r="G166">
        <v>2021</v>
      </c>
      <c r="H166" t="s">
        <v>79</v>
      </c>
      <c r="I166" t="s">
        <v>29</v>
      </c>
      <c r="J166" t="s">
        <v>29</v>
      </c>
      <c r="K166" t="s">
        <v>29</v>
      </c>
      <c r="L166">
        <v>434</v>
      </c>
      <c r="M166">
        <v>435</v>
      </c>
      <c r="N166">
        <v>1</v>
      </c>
      <c r="O166" t="s">
        <v>1196</v>
      </c>
      <c r="P166" t="s">
        <v>1197</v>
      </c>
      <c r="Q166" t="s">
        <v>124</v>
      </c>
      <c r="R166" t="s">
        <v>35</v>
      </c>
      <c r="S166" t="s">
        <v>36</v>
      </c>
      <c r="T166" t="s">
        <v>36</v>
      </c>
      <c r="U166" t="s">
        <v>36</v>
      </c>
      <c r="V166" t="s">
        <v>37</v>
      </c>
    </row>
    <row r="167" spans="1:26" ht="14.5">
      <c r="A167">
        <v>166</v>
      </c>
      <c r="B167" t="s">
        <v>1198</v>
      </c>
      <c r="C167" t="s">
        <v>1199</v>
      </c>
      <c r="D167" t="s">
        <v>1200</v>
      </c>
      <c r="E167" t="s">
        <v>1201</v>
      </c>
      <c r="F167" t="s">
        <v>1202</v>
      </c>
      <c r="G167">
        <v>2022</v>
      </c>
      <c r="H167" t="s">
        <v>1203</v>
      </c>
      <c r="I167" t="s">
        <v>1204</v>
      </c>
      <c r="J167" t="s">
        <v>29</v>
      </c>
      <c r="K167" t="s">
        <v>1205</v>
      </c>
      <c r="O167" t="s">
        <v>1206</v>
      </c>
      <c r="P167" t="s">
        <v>1207</v>
      </c>
      <c r="Q167" t="s">
        <v>157</v>
      </c>
      <c r="R167" t="s">
        <v>35</v>
      </c>
      <c r="S167" t="s">
        <v>36</v>
      </c>
      <c r="T167" t="s">
        <v>36</v>
      </c>
      <c r="U167" t="s">
        <v>36</v>
      </c>
      <c r="V167" t="s">
        <v>36</v>
      </c>
      <c r="W167" t="s">
        <v>36</v>
      </c>
      <c r="X167" t="s">
        <v>36</v>
      </c>
      <c r="Y167" t="s">
        <v>36</v>
      </c>
      <c r="Z167" t="s">
        <v>37</v>
      </c>
    </row>
    <row r="168" spans="1:26" ht="14.5">
      <c r="A168">
        <v>167</v>
      </c>
      <c r="B168" t="s">
        <v>1208</v>
      </c>
      <c r="C168" t="s">
        <v>1209</v>
      </c>
      <c r="D168" t="s">
        <v>1210</v>
      </c>
      <c r="E168" t="s">
        <v>1211</v>
      </c>
      <c r="F168" t="s">
        <v>1212</v>
      </c>
      <c r="G168">
        <v>2022</v>
      </c>
      <c r="H168" t="s">
        <v>1213</v>
      </c>
      <c r="I168" t="s">
        <v>29</v>
      </c>
      <c r="J168" t="s">
        <v>29</v>
      </c>
      <c r="K168" t="s">
        <v>29</v>
      </c>
      <c r="L168">
        <v>106</v>
      </c>
      <c r="M168">
        <v>111</v>
      </c>
      <c r="N168">
        <v>5</v>
      </c>
      <c r="O168" t="s">
        <v>1214</v>
      </c>
      <c r="P168" t="s">
        <v>1215</v>
      </c>
      <c r="Q168" t="s">
        <v>124</v>
      </c>
      <c r="R168" t="s">
        <v>35</v>
      </c>
      <c r="S168" t="s">
        <v>36</v>
      </c>
      <c r="T168" t="s">
        <v>36</v>
      </c>
      <c r="U168" t="s">
        <v>36</v>
      </c>
      <c r="V168" t="s">
        <v>37</v>
      </c>
    </row>
    <row r="169" spans="1:26" ht="14.5">
      <c r="A169">
        <v>168</v>
      </c>
      <c r="B169" t="s">
        <v>1216</v>
      </c>
      <c r="C169" t="s">
        <v>1217</v>
      </c>
      <c r="D169" t="s">
        <v>1218</v>
      </c>
      <c r="E169" t="s">
        <v>1219</v>
      </c>
      <c r="F169" t="s">
        <v>1220</v>
      </c>
      <c r="G169">
        <v>2016</v>
      </c>
      <c r="H169" t="s">
        <v>565</v>
      </c>
      <c r="I169" t="s">
        <v>566</v>
      </c>
      <c r="J169" t="s">
        <v>509</v>
      </c>
      <c r="K169" t="s">
        <v>29</v>
      </c>
      <c r="L169">
        <v>383</v>
      </c>
      <c r="M169">
        <v>403</v>
      </c>
      <c r="N169">
        <v>20</v>
      </c>
      <c r="O169" t="s">
        <v>1221</v>
      </c>
      <c r="P169" t="s">
        <v>1222</v>
      </c>
      <c r="Q169" t="s">
        <v>157</v>
      </c>
      <c r="R169" t="s">
        <v>35</v>
      </c>
      <c r="S169" t="s">
        <v>36</v>
      </c>
      <c r="T169" t="s">
        <v>37</v>
      </c>
    </row>
    <row r="170" spans="1:26" ht="14.5">
      <c r="A170">
        <v>169</v>
      </c>
      <c r="B170" t="s">
        <v>1223</v>
      </c>
      <c r="C170" t="s">
        <v>1224</v>
      </c>
      <c r="D170" t="s">
        <v>1218</v>
      </c>
      <c r="E170" t="s">
        <v>1225</v>
      </c>
      <c r="F170" t="s">
        <v>1226</v>
      </c>
      <c r="G170">
        <v>2015</v>
      </c>
      <c r="H170" t="s">
        <v>1227</v>
      </c>
      <c r="I170" t="s">
        <v>29</v>
      </c>
      <c r="J170" t="s">
        <v>29</v>
      </c>
      <c r="K170" t="s">
        <v>1228</v>
      </c>
      <c r="L170">
        <v>126</v>
      </c>
      <c r="M170">
        <v>135</v>
      </c>
      <c r="N170">
        <v>9</v>
      </c>
      <c r="O170" t="s">
        <v>1229</v>
      </c>
      <c r="P170" t="s">
        <v>1230</v>
      </c>
      <c r="Q170" t="s">
        <v>124</v>
      </c>
      <c r="R170" t="s">
        <v>35</v>
      </c>
      <c r="S170" t="s">
        <v>36</v>
      </c>
      <c r="T170" t="s">
        <v>37</v>
      </c>
    </row>
    <row r="171" spans="1:26" ht="14.5">
      <c r="A171">
        <v>170</v>
      </c>
      <c r="B171" t="s">
        <v>1231</v>
      </c>
      <c r="C171" t="s">
        <v>1232</v>
      </c>
      <c r="D171" t="s">
        <v>1233</v>
      </c>
      <c r="E171" t="s">
        <v>1234</v>
      </c>
      <c r="F171" t="s">
        <v>1235</v>
      </c>
      <c r="G171">
        <v>2015</v>
      </c>
      <c r="H171" t="s">
        <v>1227</v>
      </c>
      <c r="I171" t="s">
        <v>29</v>
      </c>
      <c r="J171" t="s">
        <v>29</v>
      </c>
      <c r="K171" t="s">
        <v>1236</v>
      </c>
      <c r="L171">
        <v>262</v>
      </c>
      <c r="M171">
        <v>267</v>
      </c>
      <c r="N171">
        <v>5</v>
      </c>
      <c r="O171" t="s">
        <v>1237</v>
      </c>
      <c r="P171" t="s">
        <v>1238</v>
      </c>
      <c r="Q171" t="s">
        <v>124</v>
      </c>
      <c r="R171" t="s">
        <v>35</v>
      </c>
      <c r="S171" t="s">
        <v>36</v>
      </c>
      <c r="T171" t="s">
        <v>37</v>
      </c>
    </row>
    <row r="172" spans="1:26" ht="14.5">
      <c r="A172">
        <v>171</v>
      </c>
      <c r="B172" t="s">
        <v>1239</v>
      </c>
      <c r="C172" t="s">
        <v>1240</v>
      </c>
      <c r="D172" t="s">
        <v>1241</v>
      </c>
      <c r="E172" t="s">
        <v>1242</v>
      </c>
      <c r="F172" t="s">
        <v>1243</v>
      </c>
      <c r="G172">
        <v>2015</v>
      </c>
      <c r="H172" t="s">
        <v>565</v>
      </c>
      <c r="I172" t="s">
        <v>864</v>
      </c>
      <c r="J172" t="s">
        <v>509</v>
      </c>
      <c r="K172" t="s">
        <v>1244</v>
      </c>
      <c r="L172">
        <v>281</v>
      </c>
      <c r="M172">
        <v>300</v>
      </c>
      <c r="N172">
        <v>19</v>
      </c>
      <c r="O172" t="s">
        <v>1245</v>
      </c>
      <c r="P172" t="s">
        <v>1246</v>
      </c>
      <c r="Q172" t="s">
        <v>157</v>
      </c>
      <c r="R172" t="s">
        <v>35</v>
      </c>
      <c r="S172" t="s">
        <v>36</v>
      </c>
      <c r="T172" t="s">
        <v>37</v>
      </c>
    </row>
    <row r="173" spans="1:26" ht="14.5">
      <c r="A173">
        <v>172</v>
      </c>
      <c r="B173" t="s">
        <v>1247</v>
      </c>
      <c r="C173" t="s">
        <v>1248</v>
      </c>
      <c r="D173" t="s">
        <v>1249</v>
      </c>
      <c r="E173" t="s">
        <v>1250</v>
      </c>
      <c r="F173" t="s">
        <v>1251</v>
      </c>
      <c r="G173">
        <v>2016</v>
      </c>
      <c r="H173" t="s">
        <v>1252</v>
      </c>
      <c r="I173" t="s">
        <v>29</v>
      </c>
      <c r="J173" t="s">
        <v>29</v>
      </c>
      <c r="K173" t="s">
        <v>1253</v>
      </c>
      <c r="L173">
        <v>26</v>
      </c>
      <c r="M173">
        <v>30</v>
      </c>
      <c r="N173">
        <v>4</v>
      </c>
      <c r="O173" t="s">
        <v>1254</v>
      </c>
      <c r="P173" t="s">
        <v>1255</v>
      </c>
      <c r="Q173" t="s">
        <v>124</v>
      </c>
      <c r="R173" t="s">
        <v>35</v>
      </c>
      <c r="S173" t="s">
        <v>36</v>
      </c>
      <c r="T173" t="s">
        <v>37</v>
      </c>
    </row>
    <row r="174" spans="1:26" ht="14.5">
      <c r="A174">
        <v>173</v>
      </c>
      <c r="B174" t="s">
        <v>1256</v>
      </c>
      <c r="C174" t="s">
        <v>1257</v>
      </c>
      <c r="D174" t="s">
        <v>1258</v>
      </c>
      <c r="E174" t="s">
        <v>1259</v>
      </c>
      <c r="F174" t="s">
        <v>1260</v>
      </c>
      <c r="G174">
        <v>2015</v>
      </c>
      <c r="H174" t="s">
        <v>1261</v>
      </c>
      <c r="I174" t="s">
        <v>29</v>
      </c>
      <c r="J174" t="s">
        <v>29</v>
      </c>
      <c r="K174" t="s">
        <v>1262</v>
      </c>
      <c r="L174">
        <v>143</v>
      </c>
      <c r="M174">
        <v>150</v>
      </c>
      <c r="N174">
        <v>7</v>
      </c>
      <c r="O174" t="s">
        <v>1263</v>
      </c>
      <c r="P174" t="s">
        <v>1264</v>
      </c>
      <c r="Q174" t="s">
        <v>124</v>
      </c>
      <c r="R174" t="s">
        <v>35</v>
      </c>
      <c r="S174" t="s">
        <v>36</v>
      </c>
      <c r="T174" t="s">
        <v>37</v>
      </c>
    </row>
    <row r="175" spans="1:26" ht="14.5">
      <c r="A175">
        <v>174</v>
      </c>
      <c r="B175" t="s">
        <v>1265</v>
      </c>
      <c r="C175" t="s">
        <v>1266</v>
      </c>
      <c r="D175" t="s">
        <v>1267</v>
      </c>
      <c r="E175" t="s">
        <v>1268</v>
      </c>
      <c r="F175" t="s">
        <v>1269</v>
      </c>
      <c r="G175">
        <v>2016</v>
      </c>
      <c r="H175" t="s">
        <v>86</v>
      </c>
      <c r="I175" t="s">
        <v>29</v>
      </c>
      <c r="J175" t="s">
        <v>29</v>
      </c>
      <c r="K175" t="s">
        <v>29</v>
      </c>
      <c r="L175">
        <v>12</v>
      </c>
      <c r="M175">
        <v>17</v>
      </c>
      <c r="N175">
        <v>5</v>
      </c>
      <c r="O175" t="s">
        <v>1270</v>
      </c>
      <c r="P175" t="s">
        <v>1271</v>
      </c>
      <c r="Q175" t="s">
        <v>124</v>
      </c>
      <c r="R175" t="s">
        <v>35</v>
      </c>
      <c r="S175" t="s">
        <v>36</v>
      </c>
      <c r="T175" t="s">
        <v>37</v>
      </c>
    </row>
    <row r="176" spans="1:26" ht="14.5">
      <c r="A176">
        <v>175</v>
      </c>
      <c r="B176" t="s">
        <v>1265</v>
      </c>
      <c r="C176" t="s">
        <v>1266</v>
      </c>
      <c r="D176" t="s">
        <v>1267</v>
      </c>
      <c r="E176" t="s">
        <v>1272</v>
      </c>
      <c r="F176" t="s">
        <v>1273</v>
      </c>
      <c r="G176">
        <v>2021</v>
      </c>
      <c r="H176" t="s">
        <v>1274</v>
      </c>
      <c r="I176" t="s">
        <v>29</v>
      </c>
      <c r="J176" t="s">
        <v>29</v>
      </c>
      <c r="K176" t="s">
        <v>1275</v>
      </c>
      <c r="L176">
        <v>162</v>
      </c>
      <c r="M176">
        <v>172</v>
      </c>
      <c r="N176">
        <v>10</v>
      </c>
      <c r="O176" t="s">
        <v>1276</v>
      </c>
      <c r="P176" t="s">
        <v>1277</v>
      </c>
      <c r="Q176" t="s">
        <v>124</v>
      </c>
      <c r="R176" t="s">
        <v>35</v>
      </c>
      <c r="S176" t="s">
        <v>36</v>
      </c>
      <c r="T176" t="s">
        <v>36</v>
      </c>
      <c r="U176" t="s">
        <v>36</v>
      </c>
      <c r="V176" t="s">
        <v>36</v>
      </c>
      <c r="W176" t="s">
        <v>36</v>
      </c>
      <c r="X176" t="s">
        <v>36</v>
      </c>
      <c r="Y176" t="s">
        <v>36</v>
      </c>
      <c r="Z176" t="s">
        <v>37</v>
      </c>
    </row>
    <row r="177" spans="1:27" ht="14.5">
      <c r="A177">
        <v>176</v>
      </c>
      <c r="B177" t="s">
        <v>1278</v>
      </c>
      <c r="C177" t="s">
        <v>1279</v>
      </c>
      <c r="D177" t="s">
        <v>1280</v>
      </c>
      <c r="E177" t="s">
        <v>1281</v>
      </c>
      <c r="F177" t="s">
        <v>1282</v>
      </c>
      <c r="G177">
        <v>2019</v>
      </c>
      <c r="H177" t="s">
        <v>86</v>
      </c>
      <c r="I177" t="s">
        <v>29</v>
      </c>
      <c r="J177" t="s">
        <v>29</v>
      </c>
      <c r="K177" t="s">
        <v>29</v>
      </c>
      <c r="L177">
        <v>153</v>
      </c>
      <c r="M177">
        <v>156</v>
      </c>
      <c r="N177">
        <v>3</v>
      </c>
      <c r="O177" t="s">
        <v>1283</v>
      </c>
      <c r="P177" t="s">
        <v>1284</v>
      </c>
      <c r="Q177" t="s">
        <v>124</v>
      </c>
      <c r="R177" t="s">
        <v>35</v>
      </c>
      <c r="S177" t="s">
        <v>36</v>
      </c>
      <c r="T177" t="s">
        <v>36</v>
      </c>
      <c r="U177" t="s">
        <v>36</v>
      </c>
      <c r="V177" t="s">
        <v>36</v>
      </c>
      <c r="W177" t="s">
        <v>36</v>
      </c>
      <c r="X177" t="s">
        <v>36</v>
      </c>
      <c r="Y177" t="s">
        <v>36</v>
      </c>
      <c r="Z177" t="s">
        <v>37</v>
      </c>
    </row>
    <row r="178" spans="1:27" ht="14.5">
      <c r="A178">
        <v>177</v>
      </c>
      <c r="B178" t="s">
        <v>1285</v>
      </c>
      <c r="C178" t="s">
        <v>1286</v>
      </c>
      <c r="D178" t="s">
        <v>1287</v>
      </c>
      <c r="E178" t="s">
        <v>1288</v>
      </c>
      <c r="F178" t="s">
        <v>1289</v>
      </c>
      <c r="G178">
        <v>2016</v>
      </c>
      <c r="H178" t="s">
        <v>41</v>
      </c>
      <c r="I178" t="s">
        <v>1290</v>
      </c>
      <c r="J178" t="s">
        <v>29</v>
      </c>
      <c r="K178" t="s">
        <v>29</v>
      </c>
      <c r="L178">
        <v>45</v>
      </c>
      <c r="M178">
        <v>62</v>
      </c>
      <c r="N178">
        <v>17</v>
      </c>
      <c r="O178" t="s">
        <v>1291</v>
      </c>
      <c r="P178" t="s">
        <v>1292</v>
      </c>
      <c r="Q178" t="s">
        <v>124</v>
      </c>
      <c r="R178" t="s">
        <v>35</v>
      </c>
      <c r="S178" t="s">
        <v>36</v>
      </c>
      <c r="T178" t="s">
        <v>37</v>
      </c>
    </row>
    <row r="179" spans="1:27" ht="14.5">
      <c r="A179">
        <v>178</v>
      </c>
      <c r="B179" t="s">
        <v>1293</v>
      </c>
      <c r="C179" t="s">
        <v>1294</v>
      </c>
      <c r="D179" t="s">
        <v>1295</v>
      </c>
      <c r="E179" t="s">
        <v>1296</v>
      </c>
      <c r="F179" t="s">
        <v>1297</v>
      </c>
      <c r="G179">
        <v>2020</v>
      </c>
      <c r="H179" t="s">
        <v>41</v>
      </c>
      <c r="I179" t="s">
        <v>1298</v>
      </c>
      <c r="J179" t="s">
        <v>29</v>
      </c>
      <c r="K179" t="s">
        <v>29</v>
      </c>
      <c r="L179">
        <v>203</v>
      </c>
      <c r="M179">
        <v>218</v>
      </c>
      <c r="N179">
        <v>15</v>
      </c>
      <c r="O179" t="s">
        <v>1299</v>
      </c>
      <c r="P179" t="s">
        <v>1300</v>
      </c>
      <c r="Q179" t="s">
        <v>124</v>
      </c>
      <c r="R179" t="s">
        <v>35</v>
      </c>
      <c r="S179" t="s">
        <v>36</v>
      </c>
      <c r="T179" t="s">
        <v>36</v>
      </c>
      <c r="U179" t="s">
        <v>36</v>
      </c>
      <c r="V179" t="s">
        <v>36</v>
      </c>
      <c r="W179" t="s">
        <v>36</v>
      </c>
      <c r="X179" t="s">
        <v>36</v>
      </c>
      <c r="Y179" t="s">
        <v>37</v>
      </c>
    </row>
    <row r="180" spans="1:27" ht="14.5">
      <c r="A180">
        <v>179</v>
      </c>
      <c r="B180" t="s">
        <v>1293</v>
      </c>
      <c r="C180" t="s">
        <v>1294</v>
      </c>
      <c r="D180" t="s">
        <v>1295</v>
      </c>
      <c r="E180" t="s">
        <v>1301</v>
      </c>
      <c r="F180" t="s">
        <v>1302</v>
      </c>
      <c r="G180">
        <v>2019</v>
      </c>
      <c r="H180" t="s">
        <v>708</v>
      </c>
      <c r="I180" t="s">
        <v>29</v>
      </c>
      <c r="J180" t="s">
        <v>29</v>
      </c>
      <c r="K180" t="s">
        <v>1303</v>
      </c>
      <c r="L180">
        <v>234</v>
      </c>
      <c r="M180">
        <v>240</v>
      </c>
      <c r="N180">
        <v>6</v>
      </c>
      <c r="O180" t="s">
        <v>1304</v>
      </c>
      <c r="P180" t="s">
        <v>1305</v>
      </c>
      <c r="Q180" t="s">
        <v>124</v>
      </c>
      <c r="R180" t="s">
        <v>35</v>
      </c>
      <c r="S180" t="s">
        <v>36</v>
      </c>
      <c r="T180" t="s">
        <v>36</v>
      </c>
      <c r="U180" t="s">
        <v>36</v>
      </c>
      <c r="V180" t="s">
        <v>36</v>
      </c>
      <c r="W180" t="s">
        <v>36</v>
      </c>
      <c r="X180" t="s">
        <v>36</v>
      </c>
      <c r="Y180" t="s">
        <v>36</v>
      </c>
      <c r="Z180" t="s">
        <v>37</v>
      </c>
    </row>
    <row r="181" spans="1:27" ht="14.5">
      <c r="A181">
        <v>180</v>
      </c>
      <c r="B181" t="s">
        <v>1306</v>
      </c>
      <c r="C181" t="s">
        <v>1307</v>
      </c>
      <c r="D181" t="s">
        <v>1308</v>
      </c>
      <c r="E181" t="s">
        <v>1309</v>
      </c>
      <c r="F181" t="s">
        <v>1310</v>
      </c>
      <c r="G181">
        <v>2023</v>
      </c>
      <c r="H181" t="s">
        <v>86</v>
      </c>
      <c r="I181" t="s">
        <v>29</v>
      </c>
      <c r="J181" t="s">
        <v>29</v>
      </c>
      <c r="K181" t="s">
        <v>29</v>
      </c>
      <c r="L181">
        <v>130</v>
      </c>
      <c r="M181">
        <v>134</v>
      </c>
      <c r="N181">
        <v>4</v>
      </c>
      <c r="O181" t="s">
        <v>1311</v>
      </c>
      <c r="P181" t="s">
        <v>1312</v>
      </c>
      <c r="Q181" t="s">
        <v>124</v>
      </c>
      <c r="R181" t="s">
        <v>35</v>
      </c>
      <c r="S181" t="s">
        <v>36</v>
      </c>
      <c r="T181" t="s">
        <v>36</v>
      </c>
      <c r="U181" t="s">
        <v>36</v>
      </c>
      <c r="V181" t="s">
        <v>36</v>
      </c>
      <c r="W181" t="s">
        <v>36</v>
      </c>
      <c r="X181" t="s">
        <v>36</v>
      </c>
      <c r="Y181" t="s">
        <v>37</v>
      </c>
    </row>
    <row r="182" spans="1:27" s="42" customFormat="1" ht="14.5">
      <c r="A182" s="42">
        <v>181</v>
      </c>
      <c r="B182" s="42" t="s">
        <v>1313</v>
      </c>
      <c r="C182" s="42" t="s">
        <v>1314</v>
      </c>
      <c r="D182" s="42" t="s">
        <v>1315</v>
      </c>
      <c r="E182" s="42" t="s">
        <v>1316</v>
      </c>
      <c r="F182" s="42" t="s">
        <v>1317</v>
      </c>
      <c r="G182" s="42">
        <v>2023</v>
      </c>
      <c r="H182" s="42" t="s">
        <v>1318</v>
      </c>
      <c r="I182" s="42" t="s">
        <v>1319</v>
      </c>
      <c r="J182" s="42" t="s">
        <v>29</v>
      </c>
      <c r="K182" s="42" t="s">
        <v>1320</v>
      </c>
      <c r="O182" s="42" t="s">
        <v>1321</v>
      </c>
      <c r="P182" s="42" t="s">
        <v>1322</v>
      </c>
      <c r="Q182" s="42" t="s">
        <v>157</v>
      </c>
      <c r="R182" s="42" t="s">
        <v>35</v>
      </c>
      <c r="S182" s="42" t="s">
        <v>36</v>
      </c>
      <c r="T182" s="42" t="s">
        <v>36</v>
      </c>
      <c r="U182" s="42" t="s">
        <v>36</v>
      </c>
      <c r="V182" s="42" t="s">
        <v>36</v>
      </c>
      <c r="W182" s="42" t="s">
        <v>36</v>
      </c>
      <c r="X182" s="42" t="s">
        <v>36</v>
      </c>
      <c r="Y182" s="42" t="s">
        <v>36</v>
      </c>
      <c r="Z182" s="42" t="s">
        <v>36</v>
      </c>
      <c r="AA182" s="42" t="s">
        <v>36</v>
      </c>
    </row>
    <row r="183" spans="1:27" ht="14.5">
      <c r="A183">
        <v>182</v>
      </c>
      <c r="B183" t="s">
        <v>1323</v>
      </c>
      <c r="C183" t="s">
        <v>1324</v>
      </c>
      <c r="D183" t="s">
        <v>1325</v>
      </c>
      <c r="E183" t="s">
        <v>1326</v>
      </c>
      <c r="F183" t="s">
        <v>1327</v>
      </c>
      <c r="G183">
        <v>2018</v>
      </c>
      <c r="H183" t="s">
        <v>1328</v>
      </c>
      <c r="I183" t="s">
        <v>566</v>
      </c>
      <c r="J183" t="s">
        <v>674</v>
      </c>
      <c r="K183" t="s">
        <v>29</v>
      </c>
      <c r="L183">
        <v>555</v>
      </c>
      <c r="M183">
        <v>575</v>
      </c>
      <c r="N183">
        <v>20</v>
      </c>
      <c r="O183" t="s">
        <v>1329</v>
      </c>
      <c r="P183" t="s">
        <v>1330</v>
      </c>
      <c r="Q183" t="s">
        <v>157</v>
      </c>
      <c r="R183" t="s">
        <v>35</v>
      </c>
      <c r="S183" t="s">
        <v>36</v>
      </c>
      <c r="T183" t="s">
        <v>37</v>
      </c>
    </row>
    <row r="184" spans="1:27" ht="14.5">
      <c r="A184">
        <v>183</v>
      </c>
      <c r="B184" t="s">
        <v>1331</v>
      </c>
      <c r="C184" t="s">
        <v>1332</v>
      </c>
      <c r="D184" t="s">
        <v>1333</v>
      </c>
      <c r="E184" t="s">
        <v>1334</v>
      </c>
      <c r="F184" t="s">
        <v>1335</v>
      </c>
      <c r="G184">
        <v>2022</v>
      </c>
      <c r="H184" t="s">
        <v>1336</v>
      </c>
      <c r="I184" t="s">
        <v>566</v>
      </c>
      <c r="J184" t="s">
        <v>509</v>
      </c>
      <c r="K184" t="s">
        <v>1337</v>
      </c>
      <c r="O184" t="s">
        <v>1338</v>
      </c>
      <c r="P184" t="s">
        <v>1339</v>
      </c>
      <c r="Q184" t="s">
        <v>157</v>
      </c>
      <c r="R184" t="s">
        <v>35</v>
      </c>
      <c r="S184" t="s">
        <v>36</v>
      </c>
      <c r="T184" t="s">
        <v>36</v>
      </c>
      <c r="U184" t="s">
        <v>36</v>
      </c>
      <c r="V184" t="s">
        <v>36</v>
      </c>
      <c r="W184" t="s">
        <v>36</v>
      </c>
      <c r="X184" t="s">
        <v>36</v>
      </c>
      <c r="Y184" t="s">
        <v>36</v>
      </c>
      <c r="Z184" t="s">
        <v>37</v>
      </c>
    </row>
    <row r="185" spans="1:27" ht="14.5">
      <c r="A185">
        <v>184</v>
      </c>
      <c r="B185" t="s">
        <v>1340</v>
      </c>
      <c r="C185" t="s">
        <v>1341</v>
      </c>
      <c r="D185" t="s">
        <v>1342</v>
      </c>
      <c r="E185" t="s">
        <v>1343</v>
      </c>
      <c r="F185" t="s">
        <v>1344</v>
      </c>
      <c r="G185">
        <v>2017</v>
      </c>
      <c r="H185" t="s">
        <v>1345</v>
      </c>
      <c r="I185" t="s">
        <v>526</v>
      </c>
      <c r="J185" t="s">
        <v>1346</v>
      </c>
      <c r="K185" t="s">
        <v>29</v>
      </c>
      <c r="L185">
        <v>97</v>
      </c>
      <c r="M185">
        <v>101</v>
      </c>
      <c r="N185">
        <v>4</v>
      </c>
      <c r="O185" t="s">
        <v>29</v>
      </c>
      <c r="P185" t="s">
        <v>1347</v>
      </c>
      <c r="Q185" t="s">
        <v>157</v>
      </c>
      <c r="R185" t="s">
        <v>35</v>
      </c>
      <c r="S185" t="s">
        <v>36</v>
      </c>
      <c r="T185" t="s">
        <v>37</v>
      </c>
    </row>
    <row r="186" spans="1:27" ht="14.5">
      <c r="A186">
        <v>185</v>
      </c>
      <c r="B186" t="s">
        <v>1348</v>
      </c>
      <c r="C186" t="s">
        <v>1349</v>
      </c>
      <c r="D186" t="s">
        <v>1350</v>
      </c>
      <c r="E186" t="s">
        <v>1351</v>
      </c>
      <c r="F186" t="s">
        <v>1352</v>
      </c>
      <c r="G186">
        <v>2019</v>
      </c>
      <c r="H186" t="s">
        <v>41</v>
      </c>
      <c r="I186" t="s">
        <v>1353</v>
      </c>
      <c r="J186" t="s">
        <v>29</v>
      </c>
      <c r="K186" t="s">
        <v>29</v>
      </c>
      <c r="L186">
        <v>109</v>
      </c>
      <c r="M186">
        <v>116</v>
      </c>
      <c r="N186">
        <v>7</v>
      </c>
      <c r="O186" t="s">
        <v>1354</v>
      </c>
      <c r="P186" t="s">
        <v>1355</v>
      </c>
      <c r="Q186" t="s">
        <v>124</v>
      </c>
      <c r="R186" t="s">
        <v>35</v>
      </c>
      <c r="S186" t="s">
        <v>36</v>
      </c>
      <c r="T186" t="s">
        <v>36</v>
      </c>
      <c r="U186" t="s">
        <v>36</v>
      </c>
      <c r="V186" t="s">
        <v>36</v>
      </c>
      <c r="W186" t="s">
        <v>36</v>
      </c>
      <c r="X186" t="s">
        <v>36</v>
      </c>
      <c r="Y186" t="s">
        <v>36</v>
      </c>
      <c r="Z186" t="s">
        <v>37</v>
      </c>
    </row>
    <row r="187" spans="1:27" ht="14.5">
      <c r="A187">
        <v>186</v>
      </c>
      <c r="B187" t="s">
        <v>1356</v>
      </c>
      <c r="C187" t="s">
        <v>1357</v>
      </c>
      <c r="D187" t="s">
        <v>1358</v>
      </c>
      <c r="E187" t="s">
        <v>1359</v>
      </c>
      <c r="F187" t="s">
        <v>1360</v>
      </c>
      <c r="G187">
        <v>2019</v>
      </c>
      <c r="H187" t="s">
        <v>1361</v>
      </c>
      <c r="I187" t="s">
        <v>29</v>
      </c>
      <c r="J187" t="s">
        <v>29</v>
      </c>
      <c r="K187" t="s">
        <v>1362</v>
      </c>
      <c r="O187" t="s">
        <v>1363</v>
      </c>
      <c r="P187" t="s">
        <v>1364</v>
      </c>
      <c r="Q187" t="s">
        <v>124</v>
      </c>
      <c r="R187" t="s">
        <v>35</v>
      </c>
      <c r="S187" t="s">
        <v>36</v>
      </c>
      <c r="T187" t="s">
        <v>36</v>
      </c>
      <c r="U187" t="s">
        <v>36</v>
      </c>
      <c r="V187" t="s">
        <v>36</v>
      </c>
      <c r="W187" t="s">
        <v>36</v>
      </c>
      <c r="X187" t="s">
        <v>36</v>
      </c>
      <c r="Y187" t="s">
        <v>36</v>
      </c>
      <c r="Z187" t="s">
        <v>36</v>
      </c>
      <c r="AA187" t="s">
        <v>37</v>
      </c>
    </row>
    <row r="188" spans="1:27" ht="14.5">
      <c r="A188">
        <v>187</v>
      </c>
      <c r="B188" t="s">
        <v>1365</v>
      </c>
      <c r="C188" t="s">
        <v>1366</v>
      </c>
      <c r="D188" t="s">
        <v>1367</v>
      </c>
      <c r="E188" t="s">
        <v>1368</v>
      </c>
      <c r="F188" t="s">
        <v>1369</v>
      </c>
      <c r="G188">
        <v>2004</v>
      </c>
      <c r="H188" t="s">
        <v>79</v>
      </c>
      <c r="I188" t="s">
        <v>29</v>
      </c>
      <c r="J188" t="s">
        <v>29</v>
      </c>
      <c r="K188" t="s">
        <v>29</v>
      </c>
      <c r="L188">
        <v>283</v>
      </c>
      <c r="M188">
        <v>294</v>
      </c>
      <c r="N188">
        <v>11</v>
      </c>
      <c r="O188" t="s">
        <v>1370</v>
      </c>
      <c r="P188" t="s">
        <v>1371</v>
      </c>
      <c r="Q188" t="s">
        <v>124</v>
      </c>
      <c r="R188" t="s">
        <v>35</v>
      </c>
      <c r="S188" t="s">
        <v>36</v>
      </c>
      <c r="T188" t="s">
        <v>37</v>
      </c>
    </row>
    <row r="189" spans="1:27" ht="14.5">
      <c r="A189">
        <v>188</v>
      </c>
      <c r="B189" t="s">
        <v>1372</v>
      </c>
      <c r="C189" t="s">
        <v>1373</v>
      </c>
      <c r="E189" t="s">
        <v>1374</v>
      </c>
      <c r="F189" t="s">
        <v>1375</v>
      </c>
      <c r="G189">
        <v>2021</v>
      </c>
      <c r="O189" t="s">
        <v>1376</v>
      </c>
      <c r="P189" t="s">
        <v>1377</v>
      </c>
      <c r="Q189" t="s">
        <v>310</v>
      </c>
      <c r="R189" t="s">
        <v>311</v>
      </c>
      <c r="S189" t="s">
        <v>36</v>
      </c>
      <c r="T189" t="s">
        <v>36</v>
      </c>
      <c r="U189" t="s">
        <v>37</v>
      </c>
    </row>
    <row r="190" spans="1:27" ht="14.5">
      <c r="A190">
        <v>189</v>
      </c>
      <c r="B190" t="s">
        <v>1378</v>
      </c>
      <c r="C190" t="s">
        <v>1379</v>
      </c>
      <c r="D190" t="s">
        <v>1380</v>
      </c>
      <c r="E190" t="s">
        <v>1381</v>
      </c>
      <c r="F190" t="s">
        <v>1382</v>
      </c>
      <c r="G190">
        <v>2017</v>
      </c>
      <c r="H190" t="s">
        <v>1383</v>
      </c>
      <c r="I190" t="s">
        <v>1384</v>
      </c>
      <c r="J190" t="s">
        <v>29</v>
      </c>
      <c r="K190" t="s">
        <v>29</v>
      </c>
      <c r="L190">
        <v>116</v>
      </c>
      <c r="M190">
        <v>120</v>
      </c>
      <c r="N190">
        <v>4</v>
      </c>
      <c r="O190" t="s">
        <v>1385</v>
      </c>
      <c r="P190" t="s">
        <v>1386</v>
      </c>
      <c r="Q190" t="s">
        <v>124</v>
      </c>
      <c r="R190" t="s">
        <v>35</v>
      </c>
      <c r="S190" t="s">
        <v>36</v>
      </c>
      <c r="T190" t="s">
        <v>37</v>
      </c>
    </row>
    <row r="191" spans="1:27" ht="14.5">
      <c r="A191">
        <v>190</v>
      </c>
      <c r="B191" t="s">
        <v>1387</v>
      </c>
      <c r="C191" t="s">
        <v>1388</v>
      </c>
      <c r="D191" t="s">
        <v>1389</v>
      </c>
      <c r="E191" t="s">
        <v>1390</v>
      </c>
      <c r="F191" t="s">
        <v>1391</v>
      </c>
      <c r="G191">
        <v>2009</v>
      </c>
      <c r="H191" t="s">
        <v>1392</v>
      </c>
      <c r="I191" t="s">
        <v>29</v>
      </c>
      <c r="J191" t="s">
        <v>29</v>
      </c>
      <c r="K191" t="s">
        <v>1393</v>
      </c>
      <c r="L191">
        <v>185</v>
      </c>
      <c r="M191">
        <v>194</v>
      </c>
      <c r="N191">
        <v>9</v>
      </c>
      <c r="O191" t="s">
        <v>1394</v>
      </c>
      <c r="P191" t="s">
        <v>1395</v>
      </c>
      <c r="Q191" t="s">
        <v>124</v>
      </c>
      <c r="R191" t="s">
        <v>35</v>
      </c>
      <c r="S191" t="s">
        <v>36</v>
      </c>
      <c r="T191" t="s">
        <v>37</v>
      </c>
    </row>
    <row r="192" spans="1:27" ht="14.5">
      <c r="A192">
        <v>191</v>
      </c>
      <c r="B192" t="s">
        <v>1396</v>
      </c>
      <c r="C192" t="s">
        <v>1397</v>
      </c>
      <c r="D192" t="s">
        <v>1398</v>
      </c>
      <c r="E192" t="s">
        <v>1399</v>
      </c>
      <c r="F192" t="s">
        <v>1400</v>
      </c>
      <c r="G192">
        <v>2022</v>
      </c>
      <c r="H192" t="s">
        <v>1401</v>
      </c>
      <c r="I192" t="s">
        <v>29</v>
      </c>
      <c r="J192" t="s">
        <v>29</v>
      </c>
      <c r="K192" t="s">
        <v>29</v>
      </c>
      <c r="O192" t="s">
        <v>1402</v>
      </c>
      <c r="P192" t="s">
        <v>1403</v>
      </c>
      <c r="Q192" t="s">
        <v>124</v>
      </c>
      <c r="R192" t="s">
        <v>35</v>
      </c>
      <c r="S192" t="s">
        <v>36</v>
      </c>
      <c r="T192" t="s">
        <v>36</v>
      </c>
      <c r="U192" t="s">
        <v>36</v>
      </c>
      <c r="V192" t="s">
        <v>36</v>
      </c>
      <c r="W192" t="s">
        <v>36</v>
      </c>
      <c r="X192" t="s">
        <v>36</v>
      </c>
      <c r="Y192" t="s">
        <v>37</v>
      </c>
    </row>
    <row r="193" spans="1:27" ht="14.5">
      <c r="A193">
        <v>192</v>
      </c>
      <c r="B193" t="s">
        <v>1404</v>
      </c>
      <c r="C193" t="s">
        <v>1405</v>
      </c>
      <c r="D193" t="s">
        <v>1406</v>
      </c>
      <c r="E193" t="s">
        <v>1407</v>
      </c>
      <c r="F193" t="s">
        <v>1408</v>
      </c>
      <c r="G193">
        <v>2010</v>
      </c>
      <c r="H193" t="s">
        <v>41</v>
      </c>
      <c r="I193" t="s">
        <v>849</v>
      </c>
      <c r="J193" t="s">
        <v>29</v>
      </c>
      <c r="K193" t="s">
        <v>29</v>
      </c>
      <c r="L193">
        <v>188</v>
      </c>
      <c r="M193">
        <v>202</v>
      </c>
      <c r="N193">
        <v>14</v>
      </c>
      <c r="O193" t="s">
        <v>1409</v>
      </c>
      <c r="P193" t="s">
        <v>1410</v>
      </c>
      <c r="Q193" t="s">
        <v>124</v>
      </c>
      <c r="R193" t="s">
        <v>35</v>
      </c>
      <c r="S193" t="s">
        <v>36</v>
      </c>
      <c r="T193" t="s">
        <v>37</v>
      </c>
    </row>
    <row r="194" spans="1:27" ht="14.5">
      <c r="A194">
        <v>193</v>
      </c>
      <c r="B194" t="s">
        <v>1411</v>
      </c>
      <c r="C194" t="s">
        <v>1412</v>
      </c>
      <c r="D194" t="s">
        <v>1413</v>
      </c>
      <c r="E194" t="s">
        <v>1414</v>
      </c>
      <c r="F194" t="s">
        <v>1415</v>
      </c>
      <c r="G194">
        <v>2007</v>
      </c>
      <c r="H194" t="s">
        <v>1416</v>
      </c>
      <c r="I194" t="s">
        <v>29</v>
      </c>
      <c r="J194" t="s">
        <v>29</v>
      </c>
      <c r="K194" t="s">
        <v>29</v>
      </c>
      <c r="L194">
        <v>39</v>
      </c>
      <c r="M194">
        <v>45</v>
      </c>
      <c r="N194">
        <v>6</v>
      </c>
      <c r="O194" t="s">
        <v>1417</v>
      </c>
      <c r="P194" t="s">
        <v>1418</v>
      </c>
      <c r="Q194" t="s">
        <v>124</v>
      </c>
      <c r="R194" t="s">
        <v>35</v>
      </c>
      <c r="S194" t="s">
        <v>36</v>
      </c>
      <c r="T194" t="s">
        <v>37</v>
      </c>
    </row>
    <row r="195" spans="1:27" ht="14.5">
      <c r="A195">
        <v>194</v>
      </c>
      <c r="B195" t="s">
        <v>1419</v>
      </c>
      <c r="C195" t="s">
        <v>1420</v>
      </c>
      <c r="D195" t="s">
        <v>1421</v>
      </c>
      <c r="E195" t="s">
        <v>1422</v>
      </c>
      <c r="F195" t="s">
        <v>1423</v>
      </c>
      <c r="G195">
        <v>2023</v>
      </c>
      <c r="H195" t="s">
        <v>1424</v>
      </c>
      <c r="I195" t="s">
        <v>567</v>
      </c>
      <c r="J195" t="s">
        <v>153</v>
      </c>
      <c r="K195" t="s">
        <v>1425</v>
      </c>
      <c r="O195" t="s">
        <v>1426</v>
      </c>
      <c r="P195" t="s">
        <v>1427</v>
      </c>
      <c r="Q195" t="s">
        <v>157</v>
      </c>
      <c r="R195" t="s">
        <v>35</v>
      </c>
      <c r="S195" t="s">
        <v>36</v>
      </c>
      <c r="T195" t="s">
        <v>36</v>
      </c>
      <c r="U195" t="s">
        <v>36</v>
      </c>
      <c r="V195" t="s">
        <v>36</v>
      </c>
      <c r="W195" t="s">
        <v>36</v>
      </c>
      <c r="X195" t="s">
        <v>36</v>
      </c>
      <c r="Y195" t="s">
        <v>36</v>
      </c>
      <c r="Z195" t="s">
        <v>37</v>
      </c>
    </row>
    <row r="196" spans="1:27" ht="14.5">
      <c r="A196">
        <v>195</v>
      </c>
      <c r="B196" t="s">
        <v>1419</v>
      </c>
      <c r="C196" t="s">
        <v>1420</v>
      </c>
      <c r="D196" t="s">
        <v>1421</v>
      </c>
      <c r="E196" t="s">
        <v>1428</v>
      </c>
      <c r="F196" t="s">
        <v>1429</v>
      </c>
      <c r="G196">
        <v>2021</v>
      </c>
      <c r="H196" t="s">
        <v>79</v>
      </c>
      <c r="I196" t="s">
        <v>29</v>
      </c>
      <c r="J196" t="s">
        <v>29</v>
      </c>
      <c r="K196" t="s">
        <v>29</v>
      </c>
      <c r="L196">
        <v>448</v>
      </c>
      <c r="M196">
        <v>449</v>
      </c>
      <c r="N196">
        <v>1</v>
      </c>
      <c r="O196" t="s">
        <v>1430</v>
      </c>
      <c r="P196" t="s">
        <v>1431</v>
      </c>
      <c r="Q196" t="s">
        <v>124</v>
      </c>
      <c r="R196" t="s">
        <v>35</v>
      </c>
      <c r="S196" t="s">
        <v>36</v>
      </c>
      <c r="T196" t="s">
        <v>36</v>
      </c>
      <c r="U196" t="s">
        <v>36</v>
      </c>
      <c r="V196" t="s">
        <v>36</v>
      </c>
      <c r="W196" t="s">
        <v>36</v>
      </c>
      <c r="X196" t="s">
        <v>37</v>
      </c>
    </row>
    <row r="197" spans="1:27" ht="14.5">
      <c r="A197">
        <v>196</v>
      </c>
      <c r="B197" t="s">
        <v>1432</v>
      </c>
      <c r="C197" t="s">
        <v>1433</v>
      </c>
      <c r="D197" t="s">
        <v>1434</v>
      </c>
      <c r="E197" t="s">
        <v>1435</v>
      </c>
      <c r="F197" t="s">
        <v>1436</v>
      </c>
      <c r="G197">
        <v>2023</v>
      </c>
      <c r="H197" t="s">
        <v>525</v>
      </c>
      <c r="I197" t="s">
        <v>486</v>
      </c>
      <c r="J197" t="s">
        <v>29</v>
      </c>
      <c r="K197" t="s">
        <v>29</v>
      </c>
      <c r="L197">
        <v>62906</v>
      </c>
      <c r="M197">
        <v>62917</v>
      </c>
      <c r="N197">
        <v>11</v>
      </c>
      <c r="O197" t="s">
        <v>1437</v>
      </c>
      <c r="P197" t="s">
        <v>1438</v>
      </c>
      <c r="Q197" t="s">
        <v>157</v>
      </c>
      <c r="R197" t="s">
        <v>35</v>
      </c>
      <c r="S197" t="s">
        <v>36</v>
      </c>
      <c r="T197" t="s">
        <v>36</v>
      </c>
      <c r="U197" t="s">
        <v>36</v>
      </c>
      <c r="V197" t="s">
        <v>36</v>
      </c>
      <c r="W197" t="s">
        <v>36</v>
      </c>
      <c r="X197" t="s">
        <v>36</v>
      </c>
      <c r="Y197" t="s">
        <v>36</v>
      </c>
      <c r="Z197" t="s">
        <v>37</v>
      </c>
    </row>
    <row r="198" spans="1:27" ht="14.5">
      <c r="A198">
        <v>197</v>
      </c>
      <c r="B198" t="s">
        <v>1439</v>
      </c>
      <c r="C198" t="s">
        <v>1440</v>
      </c>
      <c r="D198" t="s">
        <v>1441</v>
      </c>
      <c r="E198" t="s">
        <v>1442</v>
      </c>
      <c r="F198" t="s">
        <v>1443</v>
      </c>
      <c r="G198">
        <v>2020</v>
      </c>
      <c r="H198" t="s">
        <v>79</v>
      </c>
      <c r="I198" t="s">
        <v>1444</v>
      </c>
      <c r="J198" t="s">
        <v>29</v>
      </c>
      <c r="K198" t="s">
        <v>1445</v>
      </c>
      <c r="L198">
        <v>404</v>
      </c>
      <c r="M198">
        <v>407</v>
      </c>
      <c r="N198">
        <v>3</v>
      </c>
      <c r="O198" t="s">
        <v>1446</v>
      </c>
      <c r="P198" t="s">
        <v>1447</v>
      </c>
      <c r="Q198" t="s">
        <v>124</v>
      </c>
      <c r="R198" t="s">
        <v>35</v>
      </c>
      <c r="S198" t="s">
        <v>36</v>
      </c>
      <c r="T198" t="s">
        <v>36</v>
      </c>
      <c r="U198" t="s">
        <v>36</v>
      </c>
      <c r="V198" t="s">
        <v>36</v>
      </c>
      <c r="W198" t="s">
        <v>36</v>
      </c>
      <c r="X198" t="s">
        <v>36</v>
      </c>
      <c r="Y198" t="s">
        <v>37</v>
      </c>
    </row>
    <row r="199" spans="1:27" ht="14.5">
      <c r="A199">
        <v>198</v>
      </c>
      <c r="B199" t="s">
        <v>1448</v>
      </c>
      <c r="C199" t="s">
        <v>1449</v>
      </c>
      <c r="D199" t="s">
        <v>1450</v>
      </c>
      <c r="E199" t="s">
        <v>1451</v>
      </c>
      <c r="F199" t="s">
        <v>1452</v>
      </c>
      <c r="G199">
        <v>2000</v>
      </c>
      <c r="H199" t="s">
        <v>1056</v>
      </c>
      <c r="I199" t="s">
        <v>1453</v>
      </c>
      <c r="J199" t="s">
        <v>674</v>
      </c>
      <c r="K199" t="s">
        <v>29</v>
      </c>
      <c r="L199">
        <v>429</v>
      </c>
      <c r="M199">
        <v>438</v>
      </c>
      <c r="N199">
        <v>9</v>
      </c>
      <c r="O199" t="s">
        <v>1454</v>
      </c>
      <c r="P199" t="s">
        <v>1455</v>
      </c>
      <c r="Q199" t="s">
        <v>157</v>
      </c>
      <c r="R199" t="s">
        <v>35</v>
      </c>
      <c r="S199" t="s">
        <v>36</v>
      </c>
      <c r="T199" t="s">
        <v>37</v>
      </c>
    </row>
    <row r="200" spans="1:27" ht="14.5">
      <c r="A200">
        <v>199</v>
      </c>
      <c r="B200" t="s">
        <v>1456</v>
      </c>
      <c r="C200" t="s">
        <v>1457</v>
      </c>
      <c r="D200" t="s">
        <v>1458</v>
      </c>
      <c r="E200" t="s">
        <v>1459</v>
      </c>
      <c r="F200" t="s">
        <v>1460</v>
      </c>
      <c r="G200">
        <v>2020</v>
      </c>
      <c r="H200" t="s">
        <v>1461</v>
      </c>
      <c r="I200" t="s">
        <v>29</v>
      </c>
      <c r="J200" t="s">
        <v>29</v>
      </c>
      <c r="K200" t="s">
        <v>1462</v>
      </c>
      <c r="O200" t="s">
        <v>1463</v>
      </c>
      <c r="P200" t="s">
        <v>1464</v>
      </c>
      <c r="Q200" t="s">
        <v>124</v>
      </c>
      <c r="R200" t="s">
        <v>35</v>
      </c>
      <c r="S200" t="s">
        <v>36</v>
      </c>
      <c r="T200" t="s">
        <v>36</v>
      </c>
      <c r="U200" t="s">
        <v>36</v>
      </c>
      <c r="V200" t="s">
        <v>36</v>
      </c>
      <c r="W200" t="s">
        <v>36</v>
      </c>
      <c r="X200" t="s">
        <v>36</v>
      </c>
      <c r="Y200" t="s">
        <v>36</v>
      </c>
      <c r="Z200" t="s">
        <v>36</v>
      </c>
      <c r="AA200" t="s">
        <v>37</v>
      </c>
    </row>
    <row r="201" spans="1:27" ht="14.5">
      <c r="A201">
        <v>200</v>
      </c>
      <c r="B201" t="s">
        <v>1465</v>
      </c>
      <c r="C201" t="s">
        <v>1466</v>
      </c>
      <c r="D201" t="s">
        <v>1467</v>
      </c>
      <c r="E201" t="s">
        <v>1468</v>
      </c>
      <c r="F201" t="s">
        <v>1469</v>
      </c>
      <c r="G201">
        <v>2020</v>
      </c>
      <c r="H201" t="s">
        <v>1470</v>
      </c>
      <c r="I201" t="s">
        <v>1471</v>
      </c>
      <c r="J201" t="s">
        <v>29</v>
      </c>
      <c r="K201" t="s">
        <v>29</v>
      </c>
      <c r="L201">
        <v>86</v>
      </c>
      <c r="M201">
        <v>95</v>
      </c>
      <c r="N201">
        <v>9</v>
      </c>
      <c r="O201" t="s">
        <v>1472</v>
      </c>
      <c r="P201" t="s">
        <v>1473</v>
      </c>
      <c r="Q201" t="s">
        <v>124</v>
      </c>
      <c r="R201" t="s">
        <v>35</v>
      </c>
      <c r="S201" t="s">
        <v>36</v>
      </c>
      <c r="T201" t="s">
        <v>36</v>
      </c>
      <c r="U201" t="s">
        <v>36</v>
      </c>
      <c r="V201" t="s">
        <v>36</v>
      </c>
      <c r="W201" t="s">
        <v>36</v>
      </c>
      <c r="X201" t="s">
        <v>36</v>
      </c>
      <c r="Y201" t="s">
        <v>36</v>
      </c>
      <c r="Z201" t="s">
        <v>37</v>
      </c>
    </row>
    <row r="202" spans="1:27" ht="14.5">
      <c r="A202">
        <v>201</v>
      </c>
      <c r="B202" t="s">
        <v>1474</v>
      </c>
      <c r="C202" t="s">
        <v>1475</v>
      </c>
      <c r="D202" t="s">
        <v>1476</v>
      </c>
      <c r="E202" t="s">
        <v>1477</v>
      </c>
      <c r="F202" t="s">
        <v>1478</v>
      </c>
      <c r="G202">
        <v>2023</v>
      </c>
      <c r="H202" t="s">
        <v>1479</v>
      </c>
      <c r="I202" t="s">
        <v>1480</v>
      </c>
      <c r="J202" t="s">
        <v>74</v>
      </c>
      <c r="K202" t="s">
        <v>1481</v>
      </c>
      <c r="O202" t="s">
        <v>1482</v>
      </c>
      <c r="P202" t="s">
        <v>1483</v>
      </c>
      <c r="Q202" t="s">
        <v>157</v>
      </c>
      <c r="R202" t="s">
        <v>35</v>
      </c>
      <c r="S202" t="s">
        <v>36</v>
      </c>
      <c r="T202" t="s">
        <v>36</v>
      </c>
      <c r="U202" t="s">
        <v>36</v>
      </c>
      <c r="V202" t="s">
        <v>36</v>
      </c>
      <c r="W202" t="s">
        <v>36</v>
      </c>
      <c r="X202" t="s">
        <v>36</v>
      </c>
      <c r="Y202" t="s">
        <v>36</v>
      </c>
      <c r="Z202" t="s">
        <v>37</v>
      </c>
    </row>
    <row r="203" spans="1:27" ht="14.5">
      <c r="A203">
        <v>202</v>
      </c>
      <c r="B203" t="s">
        <v>1484</v>
      </c>
      <c r="C203" t="s">
        <v>1485</v>
      </c>
      <c r="E203" t="s">
        <v>1486</v>
      </c>
      <c r="F203" t="s">
        <v>1487</v>
      </c>
      <c r="G203">
        <v>2018</v>
      </c>
      <c r="H203" t="s">
        <v>1488</v>
      </c>
      <c r="I203">
        <v>70</v>
      </c>
      <c r="L203">
        <v>410</v>
      </c>
      <c r="M203">
        <v>415</v>
      </c>
      <c r="N203">
        <v>5</v>
      </c>
      <c r="O203" t="s">
        <v>1489</v>
      </c>
      <c r="P203" t="s">
        <v>1490</v>
      </c>
      <c r="Q203" t="s">
        <v>124</v>
      </c>
      <c r="R203" t="s">
        <v>1491</v>
      </c>
      <c r="S203" t="s">
        <v>36</v>
      </c>
      <c r="T203" t="s">
        <v>37</v>
      </c>
    </row>
    <row r="204" spans="1:27" ht="14.5">
      <c r="A204">
        <v>203</v>
      </c>
      <c r="B204" t="s">
        <v>1492</v>
      </c>
      <c r="C204" t="s">
        <v>1493</v>
      </c>
      <c r="D204" t="s">
        <v>1494</v>
      </c>
      <c r="E204" t="s">
        <v>1495</v>
      </c>
      <c r="F204" t="s">
        <v>1496</v>
      </c>
      <c r="G204">
        <v>2018</v>
      </c>
      <c r="H204" t="s">
        <v>86</v>
      </c>
      <c r="I204" t="s">
        <v>29</v>
      </c>
      <c r="J204" t="s">
        <v>29</v>
      </c>
      <c r="K204" t="s">
        <v>29</v>
      </c>
      <c r="L204">
        <v>102</v>
      </c>
      <c r="M204">
        <v>111</v>
      </c>
      <c r="N204">
        <v>9</v>
      </c>
      <c r="O204" t="s">
        <v>1497</v>
      </c>
      <c r="P204" t="s">
        <v>1498</v>
      </c>
      <c r="Q204" t="s">
        <v>124</v>
      </c>
      <c r="R204" t="s">
        <v>35</v>
      </c>
      <c r="S204" t="s">
        <v>36</v>
      </c>
      <c r="T204" t="s">
        <v>37</v>
      </c>
    </row>
    <row r="205" spans="1:27" ht="14.5">
      <c r="A205">
        <v>204</v>
      </c>
      <c r="B205" t="s">
        <v>1499</v>
      </c>
      <c r="C205" t="s">
        <v>1500</v>
      </c>
      <c r="D205" t="s">
        <v>1501</v>
      </c>
      <c r="E205" t="s">
        <v>1502</v>
      </c>
      <c r="F205" t="s">
        <v>1503</v>
      </c>
      <c r="G205">
        <v>2021</v>
      </c>
      <c r="H205" t="s">
        <v>79</v>
      </c>
      <c r="I205" t="s">
        <v>920</v>
      </c>
      <c r="J205" t="s">
        <v>29</v>
      </c>
      <c r="K205" t="s">
        <v>29</v>
      </c>
      <c r="L205">
        <v>30</v>
      </c>
      <c r="M205">
        <v>38</v>
      </c>
      <c r="N205">
        <v>8</v>
      </c>
      <c r="O205" t="s">
        <v>1504</v>
      </c>
      <c r="P205" t="s">
        <v>1505</v>
      </c>
      <c r="Q205" t="s">
        <v>124</v>
      </c>
      <c r="R205" t="s">
        <v>35</v>
      </c>
      <c r="S205" t="s">
        <v>36</v>
      </c>
      <c r="T205" t="s">
        <v>36</v>
      </c>
      <c r="U205" t="s">
        <v>36</v>
      </c>
      <c r="V205" t="s">
        <v>37</v>
      </c>
    </row>
    <row r="206" spans="1:27" ht="14.5">
      <c r="A206">
        <v>205</v>
      </c>
      <c r="B206" t="s">
        <v>1506</v>
      </c>
      <c r="C206" t="s">
        <v>1507</v>
      </c>
      <c r="D206" t="s">
        <v>1508</v>
      </c>
      <c r="E206" t="s">
        <v>1509</v>
      </c>
      <c r="F206" t="s">
        <v>1510</v>
      </c>
      <c r="G206">
        <v>2016</v>
      </c>
      <c r="H206" t="s">
        <v>1511</v>
      </c>
      <c r="I206" t="s">
        <v>1512</v>
      </c>
      <c r="J206" t="s">
        <v>165</v>
      </c>
      <c r="K206" t="s">
        <v>29</v>
      </c>
      <c r="L206">
        <v>579</v>
      </c>
      <c r="M206">
        <v>603</v>
      </c>
      <c r="N206">
        <v>24</v>
      </c>
      <c r="O206" t="s">
        <v>1513</v>
      </c>
      <c r="P206" t="s">
        <v>1514</v>
      </c>
      <c r="Q206" t="s">
        <v>157</v>
      </c>
      <c r="R206" t="s">
        <v>35</v>
      </c>
      <c r="S206" t="s">
        <v>36</v>
      </c>
      <c r="T206" t="s">
        <v>37</v>
      </c>
    </row>
    <row r="207" spans="1:27" ht="14.5">
      <c r="A207">
        <v>206</v>
      </c>
      <c r="B207" t="s">
        <v>1515</v>
      </c>
      <c r="C207" t="s">
        <v>1516</v>
      </c>
      <c r="E207" t="s">
        <v>1517</v>
      </c>
      <c r="F207" t="s">
        <v>1518</v>
      </c>
      <c r="G207">
        <v>2022</v>
      </c>
      <c r="O207" t="s">
        <v>1519</v>
      </c>
      <c r="P207" t="s">
        <v>1520</v>
      </c>
      <c r="Q207" t="s">
        <v>310</v>
      </c>
      <c r="R207" t="s">
        <v>311</v>
      </c>
      <c r="S207" t="s">
        <v>36</v>
      </c>
      <c r="T207" t="s">
        <v>36</v>
      </c>
      <c r="U207" t="s">
        <v>37</v>
      </c>
    </row>
    <row r="208" spans="1:27" ht="14.5">
      <c r="A208">
        <v>207</v>
      </c>
      <c r="B208" t="s">
        <v>1521</v>
      </c>
      <c r="C208" t="s">
        <v>1522</v>
      </c>
      <c r="D208" t="s">
        <v>1523</v>
      </c>
      <c r="E208" t="s">
        <v>1524</v>
      </c>
      <c r="F208" t="s">
        <v>1525</v>
      </c>
      <c r="G208">
        <v>2021</v>
      </c>
      <c r="H208" t="s">
        <v>1526</v>
      </c>
      <c r="I208" t="s">
        <v>935</v>
      </c>
      <c r="J208" t="s">
        <v>29</v>
      </c>
      <c r="K208" t="s">
        <v>1527</v>
      </c>
      <c r="O208" t="s">
        <v>1528</v>
      </c>
      <c r="P208" t="s">
        <v>1529</v>
      </c>
      <c r="Q208" t="s">
        <v>157</v>
      </c>
      <c r="R208" t="s">
        <v>35</v>
      </c>
      <c r="S208" t="s">
        <v>36</v>
      </c>
      <c r="T208" t="s">
        <v>36</v>
      </c>
      <c r="U208" t="s">
        <v>36</v>
      </c>
      <c r="V208" t="s">
        <v>36</v>
      </c>
      <c r="W208" t="s">
        <v>36</v>
      </c>
      <c r="X208" t="s">
        <v>36</v>
      </c>
      <c r="Y208" t="s">
        <v>37</v>
      </c>
    </row>
    <row r="209" spans="1:27" ht="14.5">
      <c r="A209">
        <v>208</v>
      </c>
      <c r="B209" t="s">
        <v>1530</v>
      </c>
      <c r="C209" t="s">
        <v>1531</v>
      </c>
      <c r="E209" t="s">
        <v>1532</v>
      </c>
      <c r="F209" t="s">
        <v>1533</v>
      </c>
      <c r="G209">
        <v>2023</v>
      </c>
      <c r="O209" t="s">
        <v>1534</v>
      </c>
      <c r="P209" t="s">
        <v>1535</v>
      </c>
      <c r="Q209" t="s">
        <v>310</v>
      </c>
      <c r="R209" t="s">
        <v>311</v>
      </c>
      <c r="S209" t="s">
        <v>36</v>
      </c>
      <c r="T209" t="s">
        <v>36</v>
      </c>
      <c r="U209" t="s">
        <v>37</v>
      </c>
    </row>
    <row r="210" spans="1:27" ht="14.5">
      <c r="A210">
        <v>209</v>
      </c>
      <c r="B210" t="s">
        <v>1536</v>
      </c>
      <c r="C210" t="s">
        <v>1537</v>
      </c>
      <c r="D210" t="s">
        <v>1538</v>
      </c>
      <c r="E210" t="s">
        <v>1539</v>
      </c>
      <c r="F210" t="s">
        <v>1540</v>
      </c>
      <c r="G210">
        <v>2016</v>
      </c>
      <c r="H210" t="s">
        <v>67</v>
      </c>
      <c r="I210" t="s">
        <v>381</v>
      </c>
      <c r="J210" t="s">
        <v>29</v>
      </c>
      <c r="K210" t="s">
        <v>29</v>
      </c>
      <c r="O210" t="s">
        <v>29</v>
      </c>
      <c r="P210" t="s">
        <v>1541</v>
      </c>
      <c r="Q210" t="s">
        <v>124</v>
      </c>
      <c r="R210" t="s">
        <v>35</v>
      </c>
      <c r="S210" t="s">
        <v>36</v>
      </c>
      <c r="T210" t="s">
        <v>37</v>
      </c>
    </row>
    <row r="211" spans="1:27" ht="14.5">
      <c r="A211">
        <v>210</v>
      </c>
      <c r="B211" t="s">
        <v>1542</v>
      </c>
      <c r="C211" t="s">
        <v>1543</v>
      </c>
      <c r="D211" t="s">
        <v>1544</v>
      </c>
      <c r="E211" t="s">
        <v>1545</v>
      </c>
      <c r="F211" t="s">
        <v>1546</v>
      </c>
      <c r="G211">
        <v>2019</v>
      </c>
      <c r="H211" t="s">
        <v>1547</v>
      </c>
      <c r="I211" t="s">
        <v>29</v>
      </c>
      <c r="J211" t="s">
        <v>29</v>
      </c>
      <c r="K211" t="s">
        <v>1548</v>
      </c>
      <c r="L211">
        <v>1</v>
      </c>
      <c r="M211">
        <v>6</v>
      </c>
      <c r="N211">
        <v>5</v>
      </c>
      <c r="O211" t="s">
        <v>1549</v>
      </c>
      <c r="P211" t="s">
        <v>1550</v>
      </c>
      <c r="Q211" t="s">
        <v>124</v>
      </c>
      <c r="R211" t="s">
        <v>35</v>
      </c>
      <c r="S211" t="s">
        <v>36</v>
      </c>
      <c r="T211" t="s">
        <v>36</v>
      </c>
      <c r="U211" t="s">
        <v>36</v>
      </c>
      <c r="V211" t="s">
        <v>37</v>
      </c>
    </row>
    <row r="212" spans="1:27" ht="14.5">
      <c r="A212">
        <v>211</v>
      </c>
      <c r="B212" t="s">
        <v>1551</v>
      </c>
      <c r="C212" t="s">
        <v>1552</v>
      </c>
      <c r="D212" t="s">
        <v>1553</v>
      </c>
      <c r="E212" t="s">
        <v>1554</v>
      </c>
      <c r="F212" t="s">
        <v>1555</v>
      </c>
      <c r="G212">
        <v>2010</v>
      </c>
      <c r="H212" t="s">
        <v>1556</v>
      </c>
      <c r="I212" t="s">
        <v>29</v>
      </c>
      <c r="J212" t="s">
        <v>29</v>
      </c>
      <c r="K212" t="s">
        <v>29</v>
      </c>
      <c r="L212">
        <v>100</v>
      </c>
      <c r="M212">
        <v>108</v>
      </c>
      <c r="N212">
        <v>8</v>
      </c>
      <c r="O212" t="s">
        <v>29</v>
      </c>
      <c r="P212" t="s">
        <v>1557</v>
      </c>
      <c r="Q212" t="s">
        <v>124</v>
      </c>
      <c r="R212" t="s">
        <v>35</v>
      </c>
      <c r="S212" t="s">
        <v>36</v>
      </c>
      <c r="T212" t="s">
        <v>37</v>
      </c>
    </row>
    <row r="213" spans="1:27" ht="14.5">
      <c r="A213">
        <v>212</v>
      </c>
      <c r="B213" t="s">
        <v>1558</v>
      </c>
      <c r="C213" t="s">
        <v>1559</v>
      </c>
      <c r="D213" t="s">
        <v>1560</v>
      </c>
      <c r="E213" t="s">
        <v>1561</v>
      </c>
      <c r="F213" t="s">
        <v>1562</v>
      </c>
      <c r="G213">
        <v>2023</v>
      </c>
      <c r="H213" t="s">
        <v>1563</v>
      </c>
      <c r="I213" t="s">
        <v>29</v>
      </c>
      <c r="J213" t="s">
        <v>29</v>
      </c>
      <c r="K213" t="s">
        <v>29</v>
      </c>
      <c r="L213">
        <v>354</v>
      </c>
      <c r="M213">
        <v>361</v>
      </c>
      <c r="N213">
        <v>7</v>
      </c>
      <c r="O213" t="s">
        <v>1564</v>
      </c>
      <c r="P213" t="s">
        <v>1565</v>
      </c>
      <c r="Q213" t="s">
        <v>124</v>
      </c>
      <c r="R213" t="s">
        <v>35</v>
      </c>
      <c r="S213" t="s">
        <v>36</v>
      </c>
      <c r="T213" t="s">
        <v>36</v>
      </c>
      <c r="U213" t="s">
        <v>36</v>
      </c>
      <c r="V213" t="s">
        <v>36</v>
      </c>
      <c r="W213" t="s">
        <v>36</v>
      </c>
      <c r="X213" t="s">
        <v>36</v>
      </c>
      <c r="Y213" t="s">
        <v>36</v>
      </c>
      <c r="Z213" t="s">
        <v>37</v>
      </c>
    </row>
    <row r="214" spans="1:27" s="42" customFormat="1" ht="14.5">
      <c r="A214" s="42">
        <v>213</v>
      </c>
      <c r="B214" s="42" t="s">
        <v>1566</v>
      </c>
      <c r="C214" s="42" t="s">
        <v>1567</v>
      </c>
      <c r="D214" s="42" t="s">
        <v>1568</v>
      </c>
      <c r="E214" s="42" t="s">
        <v>1569</v>
      </c>
      <c r="F214" s="42" t="s">
        <v>1570</v>
      </c>
      <c r="G214" s="42">
        <v>2024</v>
      </c>
      <c r="H214" s="42" t="s">
        <v>112</v>
      </c>
      <c r="I214" s="42" t="s">
        <v>113</v>
      </c>
      <c r="J214" s="42" t="s">
        <v>29</v>
      </c>
      <c r="K214" s="42" t="s">
        <v>29</v>
      </c>
      <c r="L214" s="42">
        <v>173</v>
      </c>
      <c r="M214" s="42">
        <v>181</v>
      </c>
      <c r="N214" s="42">
        <v>8</v>
      </c>
      <c r="O214" s="42" t="s">
        <v>1571</v>
      </c>
      <c r="P214" s="42" t="s">
        <v>1572</v>
      </c>
      <c r="Q214" s="42" t="s">
        <v>124</v>
      </c>
      <c r="R214" s="42" t="s">
        <v>35</v>
      </c>
      <c r="S214" s="42" t="s">
        <v>36</v>
      </c>
      <c r="T214" s="42" t="s">
        <v>36</v>
      </c>
      <c r="U214" s="42" t="s">
        <v>36</v>
      </c>
      <c r="V214" s="42" t="s">
        <v>36</v>
      </c>
      <c r="W214" s="42" t="s">
        <v>36</v>
      </c>
      <c r="X214" s="42" t="s">
        <v>36</v>
      </c>
      <c r="Y214" s="42" t="s">
        <v>36</v>
      </c>
      <c r="Z214" s="42" t="s">
        <v>36</v>
      </c>
      <c r="AA214" s="42" t="s">
        <v>36</v>
      </c>
    </row>
    <row r="215" spans="1:27" ht="14.5">
      <c r="A215">
        <v>214</v>
      </c>
      <c r="B215" t="s">
        <v>1573</v>
      </c>
      <c r="C215" t="s">
        <v>1574</v>
      </c>
      <c r="E215" t="s">
        <v>1561</v>
      </c>
      <c r="F215" t="s">
        <v>1575</v>
      </c>
      <c r="G215">
        <v>2023</v>
      </c>
      <c r="O215" t="s">
        <v>1576</v>
      </c>
      <c r="P215" t="s">
        <v>1577</v>
      </c>
      <c r="Q215" t="s">
        <v>310</v>
      </c>
      <c r="R215" t="s">
        <v>311</v>
      </c>
      <c r="S215" t="s">
        <v>37</v>
      </c>
    </row>
    <row r="216" spans="1:27" ht="14.5">
      <c r="A216">
        <v>215</v>
      </c>
      <c r="B216" t="s">
        <v>1578</v>
      </c>
      <c r="C216" t="s">
        <v>1579</v>
      </c>
      <c r="E216" t="s">
        <v>1580</v>
      </c>
      <c r="F216" t="s">
        <v>1581</v>
      </c>
      <c r="G216">
        <v>2023</v>
      </c>
      <c r="O216" t="s">
        <v>1582</v>
      </c>
      <c r="P216" t="s">
        <v>1583</v>
      </c>
      <c r="Q216" t="s">
        <v>310</v>
      </c>
      <c r="R216" t="s">
        <v>311</v>
      </c>
      <c r="S216" t="s">
        <v>37</v>
      </c>
    </row>
    <row r="217" spans="1:27" ht="14.5">
      <c r="A217">
        <v>216</v>
      </c>
      <c r="B217" t="s">
        <v>1584</v>
      </c>
      <c r="C217" t="s">
        <v>1585</v>
      </c>
      <c r="D217" t="s">
        <v>1586</v>
      </c>
      <c r="E217" t="s">
        <v>1587</v>
      </c>
      <c r="F217" t="s">
        <v>1588</v>
      </c>
      <c r="G217">
        <v>2017</v>
      </c>
      <c r="H217" t="s">
        <v>41</v>
      </c>
      <c r="I217" t="s">
        <v>42</v>
      </c>
      <c r="J217" t="s">
        <v>29</v>
      </c>
      <c r="K217" t="s">
        <v>29</v>
      </c>
      <c r="L217">
        <v>344</v>
      </c>
      <c r="M217">
        <v>360</v>
      </c>
      <c r="N217">
        <v>16</v>
      </c>
      <c r="O217" t="s">
        <v>1589</v>
      </c>
      <c r="P217" t="s">
        <v>1590</v>
      </c>
      <c r="Q217" t="s">
        <v>124</v>
      </c>
      <c r="R217" t="s">
        <v>35</v>
      </c>
      <c r="S217" t="s">
        <v>36</v>
      </c>
      <c r="T217" t="s">
        <v>37</v>
      </c>
    </row>
    <row r="218" spans="1:27" ht="14.5">
      <c r="A218">
        <v>217</v>
      </c>
      <c r="B218" t="s">
        <v>1591</v>
      </c>
      <c r="C218" t="s">
        <v>1592</v>
      </c>
      <c r="D218" t="s">
        <v>1593</v>
      </c>
      <c r="E218" t="s">
        <v>1594</v>
      </c>
      <c r="F218" t="s">
        <v>1595</v>
      </c>
      <c r="G218">
        <v>2016</v>
      </c>
      <c r="H218" t="s">
        <v>1596</v>
      </c>
      <c r="I218" t="s">
        <v>29</v>
      </c>
      <c r="J218" t="s">
        <v>29</v>
      </c>
      <c r="K218" t="s">
        <v>1597</v>
      </c>
      <c r="L218">
        <v>123</v>
      </c>
      <c r="M218">
        <v>126</v>
      </c>
      <c r="N218">
        <v>3</v>
      </c>
      <c r="O218" t="s">
        <v>1598</v>
      </c>
      <c r="P218" t="s">
        <v>1599</v>
      </c>
      <c r="Q218" t="s">
        <v>124</v>
      </c>
      <c r="R218" t="s">
        <v>35</v>
      </c>
      <c r="S218" t="s">
        <v>36</v>
      </c>
      <c r="T218" t="s">
        <v>37</v>
      </c>
    </row>
    <row r="219" spans="1:27" ht="14.5">
      <c r="A219">
        <v>218</v>
      </c>
      <c r="B219" t="s">
        <v>1600</v>
      </c>
      <c r="C219" t="s">
        <v>1601</v>
      </c>
      <c r="D219" t="s">
        <v>1602</v>
      </c>
      <c r="E219" t="s">
        <v>1603</v>
      </c>
      <c r="F219" t="s">
        <v>1604</v>
      </c>
      <c r="G219">
        <v>2021</v>
      </c>
      <c r="H219" t="s">
        <v>1605</v>
      </c>
      <c r="I219" t="s">
        <v>1606</v>
      </c>
      <c r="J219" t="s">
        <v>29</v>
      </c>
      <c r="K219" t="s">
        <v>29</v>
      </c>
      <c r="L219">
        <v>227</v>
      </c>
      <c r="M219">
        <v>236</v>
      </c>
      <c r="N219">
        <v>9</v>
      </c>
      <c r="O219" t="s">
        <v>1607</v>
      </c>
      <c r="P219" t="s">
        <v>1608</v>
      </c>
      <c r="Q219" t="s">
        <v>124</v>
      </c>
      <c r="R219" t="s">
        <v>35</v>
      </c>
      <c r="S219" t="s">
        <v>36</v>
      </c>
      <c r="T219" t="s">
        <v>36</v>
      </c>
      <c r="U219" t="s">
        <v>36</v>
      </c>
      <c r="V219" t="s">
        <v>36</v>
      </c>
      <c r="W219" t="s">
        <v>36</v>
      </c>
      <c r="X219" t="s">
        <v>36</v>
      </c>
      <c r="Y219" t="s">
        <v>36</v>
      </c>
      <c r="Z219" t="s">
        <v>37</v>
      </c>
    </row>
    <row r="220" spans="1:27" ht="14.5">
      <c r="A220">
        <v>219</v>
      </c>
      <c r="B220" t="s">
        <v>1609</v>
      </c>
      <c r="C220" t="s">
        <v>1610</v>
      </c>
      <c r="E220" t="s">
        <v>1611</v>
      </c>
      <c r="F220" t="s">
        <v>1612</v>
      </c>
      <c r="G220">
        <v>2024</v>
      </c>
      <c r="O220" t="s">
        <v>1613</v>
      </c>
      <c r="P220" t="s">
        <v>1614</v>
      </c>
      <c r="Q220" t="s">
        <v>310</v>
      </c>
      <c r="R220" t="s">
        <v>311</v>
      </c>
      <c r="S220" t="s">
        <v>36</v>
      </c>
      <c r="T220" t="s">
        <v>36</v>
      </c>
      <c r="U220" t="s">
        <v>37</v>
      </c>
    </row>
    <row r="221" spans="1:27" ht="14.5">
      <c r="A221">
        <v>220</v>
      </c>
      <c r="B221" t="s">
        <v>1615</v>
      </c>
      <c r="C221" t="s">
        <v>1616</v>
      </c>
      <c r="D221" t="s">
        <v>1617</v>
      </c>
      <c r="E221" t="s">
        <v>1618</v>
      </c>
      <c r="F221" t="s">
        <v>1619</v>
      </c>
      <c r="G221">
        <v>2017</v>
      </c>
      <c r="H221" t="s">
        <v>1171</v>
      </c>
      <c r="I221" t="s">
        <v>29</v>
      </c>
      <c r="J221" t="s">
        <v>29</v>
      </c>
      <c r="K221" t="s">
        <v>1620</v>
      </c>
      <c r="L221">
        <v>302</v>
      </c>
      <c r="M221">
        <v>311</v>
      </c>
      <c r="N221">
        <v>9</v>
      </c>
      <c r="O221" t="s">
        <v>1621</v>
      </c>
      <c r="P221" t="s">
        <v>1622</v>
      </c>
      <c r="Q221" t="s">
        <v>124</v>
      </c>
      <c r="R221" t="s">
        <v>35</v>
      </c>
      <c r="S221" t="s">
        <v>36</v>
      </c>
      <c r="T221" t="s">
        <v>37</v>
      </c>
    </row>
    <row r="222" spans="1:27" ht="14.5">
      <c r="A222">
        <v>221</v>
      </c>
      <c r="B222" t="s">
        <v>1623</v>
      </c>
      <c r="C222" t="s">
        <v>1624</v>
      </c>
      <c r="D222" t="s">
        <v>1625</v>
      </c>
      <c r="E222" t="s">
        <v>1626</v>
      </c>
      <c r="F222" t="s">
        <v>1627</v>
      </c>
      <c r="G222">
        <v>2024</v>
      </c>
      <c r="H222" t="s">
        <v>1628</v>
      </c>
      <c r="I222" t="s">
        <v>1629</v>
      </c>
      <c r="J222" t="s">
        <v>29</v>
      </c>
      <c r="K222" t="s">
        <v>1630</v>
      </c>
      <c r="O222" t="s">
        <v>1631</v>
      </c>
      <c r="P222" t="s">
        <v>1632</v>
      </c>
      <c r="Q222" t="s">
        <v>157</v>
      </c>
      <c r="R222" t="s">
        <v>35</v>
      </c>
      <c r="S222" t="s">
        <v>36</v>
      </c>
      <c r="T222" t="s">
        <v>36</v>
      </c>
      <c r="U222" t="s">
        <v>36</v>
      </c>
      <c r="V222" t="s">
        <v>36</v>
      </c>
      <c r="W222" t="s">
        <v>36</v>
      </c>
      <c r="X222" t="s">
        <v>36</v>
      </c>
      <c r="Y222" t="s">
        <v>36</v>
      </c>
      <c r="Z222" t="s">
        <v>36</v>
      </c>
      <c r="AA222" t="s">
        <v>37</v>
      </c>
    </row>
    <row r="223" spans="1:27" ht="14.5">
      <c r="A223">
        <v>222</v>
      </c>
      <c r="B223" t="s">
        <v>1633</v>
      </c>
      <c r="C223" t="s">
        <v>1634</v>
      </c>
      <c r="E223" t="s">
        <v>1635</v>
      </c>
      <c r="G223">
        <v>2023</v>
      </c>
      <c r="O223" t="s">
        <v>1636</v>
      </c>
      <c r="P223" t="s">
        <v>1637</v>
      </c>
      <c r="Q223" t="s">
        <v>310</v>
      </c>
      <c r="R223" t="s">
        <v>311</v>
      </c>
      <c r="S223" t="s">
        <v>37</v>
      </c>
    </row>
    <row r="224" spans="1:27" ht="14.5">
      <c r="A224">
        <v>223</v>
      </c>
      <c r="B224" t="s">
        <v>1638</v>
      </c>
      <c r="C224" t="s">
        <v>1639</v>
      </c>
      <c r="D224" t="s">
        <v>1640</v>
      </c>
      <c r="E224" t="s">
        <v>1641</v>
      </c>
      <c r="F224" t="s">
        <v>1642</v>
      </c>
      <c r="G224">
        <v>2013</v>
      </c>
      <c r="H224" t="s">
        <v>1643</v>
      </c>
      <c r="I224" t="s">
        <v>29</v>
      </c>
      <c r="J224" t="s">
        <v>29</v>
      </c>
      <c r="K224" t="s">
        <v>1644</v>
      </c>
      <c r="L224">
        <v>405</v>
      </c>
      <c r="M224">
        <v>414</v>
      </c>
      <c r="N224">
        <v>9</v>
      </c>
      <c r="O224" t="s">
        <v>1645</v>
      </c>
      <c r="P224" t="s">
        <v>1646</v>
      </c>
      <c r="Q224" t="s">
        <v>124</v>
      </c>
      <c r="R224" t="s">
        <v>35</v>
      </c>
      <c r="S224" t="s">
        <v>36</v>
      </c>
      <c r="T224" t="s">
        <v>37</v>
      </c>
    </row>
    <row r="225" spans="1:27" ht="14.5">
      <c r="A225">
        <v>224</v>
      </c>
      <c r="B225" t="s">
        <v>1647</v>
      </c>
      <c r="C225" t="s">
        <v>1648</v>
      </c>
      <c r="D225" t="s">
        <v>1649</v>
      </c>
      <c r="E225" t="s">
        <v>1650</v>
      </c>
      <c r="F225" t="s">
        <v>1651</v>
      </c>
      <c r="G225">
        <v>2012</v>
      </c>
      <c r="H225" t="s">
        <v>1652</v>
      </c>
      <c r="I225" t="s">
        <v>29</v>
      </c>
      <c r="J225" t="s">
        <v>29</v>
      </c>
      <c r="K225" t="s">
        <v>29</v>
      </c>
      <c r="O225" t="s">
        <v>1653</v>
      </c>
      <c r="P225" t="s">
        <v>1654</v>
      </c>
      <c r="Q225" t="s">
        <v>124</v>
      </c>
      <c r="R225" t="s">
        <v>35</v>
      </c>
      <c r="S225" t="s">
        <v>36</v>
      </c>
      <c r="T225" t="s">
        <v>37</v>
      </c>
    </row>
    <row r="226" spans="1:27" ht="14.5">
      <c r="A226">
        <v>225</v>
      </c>
      <c r="B226" t="s">
        <v>1655</v>
      </c>
      <c r="C226" t="s">
        <v>1656</v>
      </c>
      <c r="D226" t="s">
        <v>1657</v>
      </c>
      <c r="E226" t="s">
        <v>1658</v>
      </c>
      <c r="F226" t="s">
        <v>1659</v>
      </c>
      <c r="G226">
        <v>2022</v>
      </c>
      <c r="H226" t="s">
        <v>1660</v>
      </c>
      <c r="I226" t="s">
        <v>29</v>
      </c>
      <c r="J226" t="s">
        <v>29</v>
      </c>
      <c r="K226" t="s">
        <v>29</v>
      </c>
      <c r="L226">
        <v>129</v>
      </c>
      <c r="M226">
        <v>136</v>
      </c>
      <c r="N226">
        <v>7</v>
      </c>
      <c r="O226" t="s">
        <v>1661</v>
      </c>
      <c r="P226" t="s">
        <v>1662</v>
      </c>
      <c r="Q226" t="s">
        <v>124</v>
      </c>
      <c r="R226" t="s">
        <v>35</v>
      </c>
      <c r="S226" t="s">
        <v>36</v>
      </c>
      <c r="T226" t="s">
        <v>36</v>
      </c>
      <c r="U226" t="s">
        <v>36</v>
      </c>
      <c r="V226" t="s">
        <v>36</v>
      </c>
      <c r="W226" t="s">
        <v>36</v>
      </c>
      <c r="X226" t="s">
        <v>36</v>
      </c>
      <c r="Y226" t="s">
        <v>36</v>
      </c>
      <c r="Z226" t="s">
        <v>37</v>
      </c>
    </row>
    <row r="227" spans="1:27" ht="14.5">
      <c r="A227">
        <v>226</v>
      </c>
      <c r="B227" t="s">
        <v>1663</v>
      </c>
      <c r="C227" t="s">
        <v>1664</v>
      </c>
      <c r="D227" t="s">
        <v>1665</v>
      </c>
      <c r="E227" t="s">
        <v>1666</v>
      </c>
      <c r="F227" t="s">
        <v>1667</v>
      </c>
      <c r="G227">
        <v>2015</v>
      </c>
      <c r="H227" t="s">
        <v>86</v>
      </c>
      <c r="I227" t="s">
        <v>1668</v>
      </c>
      <c r="J227" t="s">
        <v>29</v>
      </c>
      <c r="K227" t="s">
        <v>29</v>
      </c>
      <c r="L227">
        <v>30</v>
      </c>
      <c r="M227">
        <v>39</v>
      </c>
      <c r="N227">
        <v>9</v>
      </c>
      <c r="O227" t="s">
        <v>1669</v>
      </c>
      <c r="P227" t="s">
        <v>1670</v>
      </c>
      <c r="Q227" t="s">
        <v>124</v>
      </c>
      <c r="R227" t="s">
        <v>35</v>
      </c>
      <c r="S227" t="s">
        <v>36</v>
      </c>
      <c r="T227" t="s">
        <v>37</v>
      </c>
    </row>
    <row r="228" spans="1:27" ht="14.5">
      <c r="A228">
        <v>227</v>
      </c>
      <c r="B228" t="s">
        <v>1671</v>
      </c>
      <c r="C228" t="s">
        <v>1672</v>
      </c>
      <c r="D228" t="s">
        <v>1673</v>
      </c>
      <c r="E228" t="s">
        <v>1674</v>
      </c>
      <c r="F228" t="s">
        <v>1675</v>
      </c>
      <c r="G228">
        <v>2022</v>
      </c>
      <c r="H228" t="s">
        <v>1676</v>
      </c>
      <c r="I228" t="s">
        <v>1677</v>
      </c>
      <c r="J228" t="s">
        <v>165</v>
      </c>
      <c r="K228" t="s">
        <v>29</v>
      </c>
      <c r="L228">
        <v>391</v>
      </c>
      <c r="M228">
        <v>414</v>
      </c>
      <c r="N228">
        <v>23</v>
      </c>
      <c r="O228" t="s">
        <v>1678</v>
      </c>
      <c r="P228" t="s">
        <v>1679</v>
      </c>
      <c r="Q228" t="s">
        <v>157</v>
      </c>
      <c r="R228" t="s">
        <v>35</v>
      </c>
      <c r="S228" t="s">
        <v>36</v>
      </c>
      <c r="T228" t="s">
        <v>36</v>
      </c>
      <c r="U228" t="s">
        <v>36</v>
      </c>
      <c r="V228" t="s">
        <v>36</v>
      </c>
      <c r="W228" t="s">
        <v>36</v>
      </c>
      <c r="X228" t="s">
        <v>36</v>
      </c>
      <c r="Y228" t="s">
        <v>36</v>
      </c>
      <c r="Z228" t="s">
        <v>37</v>
      </c>
    </row>
    <row r="229" spans="1:27" ht="14.5">
      <c r="A229">
        <v>228</v>
      </c>
      <c r="B229" t="s">
        <v>1680</v>
      </c>
      <c r="C229" t="s">
        <v>1681</v>
      </c>
      <c r="D229" t="s">
        <v>1682</v>
      </c>
      <c r="E229" t="s">
        <v>1683</v>
      </c>
      <c r="F229" t="s">
        <v>1684</v>
      </c>
      <c r="G229">
        <v>2020</v>
      </c>
      <c r="H229" t="s">
        <v>41</v>
      </c>
      <c r="I229" t="s">
        <v>1298</v>
      </c>
      <c r="J229" t="s">
        <v>29</v>
      </c>
      <c r="K229" t="s">
        <v>29</v>
      </c>
      <c r="L229">
        <v>239</v>
      </c>
      <c r="M229">
        <v>256</v>
      </c>
      <c r="N229">
        <v>17</v>
      </c>
      <c r="O229" t="s">
        <v>1685</v>
      </c>
      <c r="P229" t="s">
        <v>1686</v>
      </c>
      <c r="Q229" t="s">
        <v>124</v>
      </c>
      <c r="R229" t="s">
        <v>35</v>
      </c>
      <c r="S229" t="s">
        <v>36</v>
      </c>
      <c r="T229" t="s">
        <v>36</v>
      </c>
      <c r="U229" t="s">
        <v>36</v>
      </c>
      <c r="V229" t="s">
        <v>36</v>
      </c>
      <c r="W229" t="s">
        <v>36</v>
      </c>
      <c r="X229" t="s">
        <v>36</v>
      </c>
      <c r="Y229" t="s">
        <v>36</v>
      </c>
      <c r="Z229" t="s">
        <v>36</v>
      </c>
      <c r="AA229" t="s">
        <v>37</v>
      </c>
    </row>
    <row r="230" spans="1:27" ht="14.5">
      <c r="A230">
        <v>229</v>
      </c>
      <c r="B230" t="s">
        <v>1687</v>
      </c>
      <c r="C230" t="s">
        <v>1688</v>
      </c>
      <c r="D230" t="s">
        <v>1682</v>
      </c>
      <c r="E230" t="s">
        <v>1689</v>
      </c>
      <c r="F230" t="s">
        <v>1690</v>
      </c>
      <c r="G230">
        <v>2021</v>
      </c>
      <c r="H230" t="s">
        <v>1691</v>
      </c>
      <c r="I230" t="s">
        <v>1692</v>
      </c>
      <c r="J230" t="s">
        <v>509</v>
      </c>
      <c r="K230" t="s">
        <v>29</v>
      </c>
      <c r="L230">
        <v>435</v>
      </c>
      <c r="M230">
        <v>461</v>
      </c>
      <c r="N230">
        <v>26</v>
      </c>
      <c r="O230" t="s">
        <v>1693</v>
      </c>
      <c r="P230" t="s">
        <v>1694</v>
      </c>
      <c r="Q230" t="s">
        <v>157</v>
      </c>
      <c r="R230" t="s">
        <v>35</v>
      </c>
      <c r="S230" t="s">
        <v>36</v>
      </c>
      <c r="T230" t="s">
        <v>36</v>
      </c>
      <c r="U230" t="s">
        <v>36</v>
      </c>
      <c r="V230" t="s">
        <v>36</v>
      </c>
      <c r="W230" t="s">
        <v>36</v>
      </c>
      <c r="X230" t="s">
        <v>36</v>
      </c>
      <c r="Y230" t="s">
        <v>36</v>
      </c>
      <c r="Z230" t="s">
        <v>36</v>
      </c>
      <c r="AA230" t="s">
        <v>37</v>
      </c>
    </row>
    <row r="231" spans="1:27" ht="14.5">
      <c r="A231">
        <v>230</v>
      </c>
      <c r="B231" t="s">
        <v>1695</v>
      </c>
      <c r="C231" t="s">
        <v>1696</v>
      </c>
      <c r="D231" t="s">
        <v>1697</v>
      </c>
      <c r="E231" t="s">
        <v>1698</v>
      </c>
      <c r="F231" t="s">
        <v>1699</v>
      </c>
      <c r="G231">
        <v>2021</v>
      </c>
      <c r="H231" t="s">
        <v>1700</v>
      </c>
      <c r="I231" t="s">
        <v>29</v>
      </c>
      <c r="J231" t="s">
        <v>29</v>
      </c>
      <c r="K231" t="s">
        <v>1701</v>
      </c>
      <c r="L231">
        <v>527</v>
      </c>
      <c r="M231">
        <v>532</v>
      </c>
      <c r="N231">
        <v>5</v>
      </c>
      <c r="O231" t="s">
        <v>1702</v>
      </c>
      <c r="P231" t="s">
        <v>1703</v>
      </c>
      <c r="Q231" t="s">
        <v>124</v>
      </c>
      <c r="R231" t="s">
        <v>35</v>
      </c>
      <c r="S231" t="s">
        <v>36</v>
      </c>
      <c r="T231" t="s">
        <v>36</v>
      </c>
      <c r="U231" t="s">
        <v>36</v>
      </c>
      <c r="V231" t="s">
        <v>36</v>
      </c>
      <c r="W231" t="s">
        <v>36</v>
      </c>
      <c r="X231" t="s">
        <v>36</v>
      </c>
      <c r="Y231" t="s">
        <v>36</v>
      </c>
      <c r="Z231" t="s">
        <v>37</v>
      </c>
    </row>
    <row r="232" spans="1:27" ht="14.5">
      <c r="A232">
        <v>231</v>
      </c>
      <c r="B232" t="s">
        <v>1704</v>
      </c>
      <c r="C232" t="s">
        <v>1705</v>
      </c>
      <c r="D232" t="s">
        <v>1706</v>
      </c>
      <c r="E232" t="s">
        <v>1707</v>
      </c>
      <c r="F232" t="s">
        <v>1708</v>
      </c>
      <c r="G232">
        <v>2022</v>
      </c>
      <c r="H232" t="s">
        <v>79</v>
      </c>
      <c r="I232" t="s">
        <v>29</v>
      </c>
      <c r="J232" t="s">
        <v>29</v>
      </c>
      <c r="K232" t="s">
        <v>29</v>
      </c>
      <c r="L232">
        <v>143</v>
      </c>
      <c r="M232">
        <v>151</v>
      </c>
      <c r="N232">
        <v>8</v>
      </c>
      <c r="O232" t="s">
        <v>1709</v>
      </c>
      <c r="P232" t="s">
        <v>1710</v>
      </c>
      <c r="Q232" t="s">
        <v>124</v>
      </c>
      <c r="R232" t="s">
        <v>35</v>
      </c>
      <c r="S232" t="s">
        <v>36</v>
      </c>
      <c r="T232" t="s">
        <v>36</v>
      </c>
      <c r="U232" t="s">
        <v>36</v>
      </c>
      <c r="V232" t="s">
        <v>36</v>
      </c>
      <c r="W232" t="s">
        <v>36</v>
      </c>
      <c r="X232" t="s">
        <v>36</v>
      </c>
      <c r="Y232" t="s">
        <v>37</v>
      </c>
    </row>
    <row r="233" spans="1:27" ht="14.5">
      <c r="A233">
        <v>232</v>
      </c>
      <c r="B233" t="s">
        <v>1711</v>
      </c>
      <c r="C233" t="s">
        <v>1712</v>
      </c>
      <c r="D233" t="s">
        <v>1713</v>
      </c>
      <c r="E233" t="s">
        <v>1714</v>
      </c>
      <c r="F233" t="s">
        <v>1715</v>
      </c>
      <c r="G233">
        <v>2023</v>
      </c>
      <c r="H233" t="s">
        <v>86</v>
      </c>
      <c r="I233" t="s">
        <v>29</v>
      </c>
      <c r="J233" t="s">
        <v>29</v>
      </c>
      <c r="K233" t="s">
        <v>29</v>
      </c>
      <c r="L233">
        <v>148</v>
      </c>
      <c r="M233">
        <v>157</v>
      </c>
      <c r="N233">
        <v>9</v>
      </c>
      <c r="O233" t="s">
        <v>1716</v>
      </c>
      <c r="P233" t="s">
        <v>1717</v>
      </c>
      <c r="Q233" t="s">
        <v>124</v>
      </c>
      <c r="R233" t="s">
        <v>35</v>
      </c>
      <c r="S233" t="s">
        <v>36</v>
      </c>
      <c r="T233" t="s">
        <v>36</v>
      </c>
      <c r="U233" t="s">
        <v>36</v>
      </c>
      <c r="V233" t="s">
        <v>36</v>
      </c>
      <c r="W233" t="s">
        <v>36</v>
      </c>
      <c r="X233" t="s">
        <v>36</v>
      </c>
      <c r="Y233" t="s">
        <v>37</v>
      </c>
    </row>
    <row r="234" spans="1:27" ht="14.5">
      <c r="A234">
        <v>233</v>
      </c>
      <c r="B234" t="s">
        <v>1718</v>
      </c>
      <c r="C234" t="s">
        <v>1719</v>
      </c>
      <c r="D234" t="s">
        <v>1720</v>
      </c>
      <c r="E234" t="s">
        <v>1721</v>
      </c>
      <c r="F234" t="s">
        <v>1722</v>
      </c>
      <c r="G234">
        <v>2010</v>
      </c>
      <c r="H234" t="s">
        <v>1723</v>
      </c>
      <c r="I234" t="s">
        <v>29</v>
      </c>
      <c r="J234" t="s">
        <v>29</v>
      </c>
      <c r="K234" t="s">
        <v>1724</v>
      </c>
      <c r="L234">
        <v>155</v>
      </c>
      <c r="M234">
        <v>164</v>
      </c>
      <c r="N234">
        <v>9</v>
      </c>
      <c r="O234" t="s">
        <v>1725</v>
      </c>
      <c r="P234" t="s">
        <v>1726</v>
      </c>
      <c r="Q234" t="s">
        <v>124</v>
      </c>
      <c r="R234" t="s">
        <v>35</v>
      </c>
      <c r="S234" t="s">
        <v>36</v>
      </c>
      <c r="T234" t="s">
        <v>37</v>
      </c>
    </row>
    <row r="235" spans="1:27" ht="14.5">
      <c r="A235">
        <v>234</v>
      </c>
      <c r="B235" t="s">
        <v>1727</v>
      </c>
      <c r="C235" t="s">
        <v>1728</v>
      </c>
      <c r="D235" t="s">
        <v>1729</v>
      </c>
      <c r="E235" t="s">
        <v>1730</v>
      </c>
      <c r="F235" t="s">
        <v>1731</v>
      </c>
      <c r="G235">
        <v>2022</v>
      </c>
      <c r="H235" t="s">
        <v>525</v>
      </c>
      <c r="I235" t="s">
        <v>74</v>
      </c>
      <c r="J235" t="s">
        <v>29</v>
      </c>
      <c r="K235" t="s">
        <v>29</v>
      </c>
      <c r="L235">
        <v>51021</v>
      </c>
      <c r="M235">
        <v>51040</v>
      </c>
      <c r="N235">
        <v>19</v>
      </c>
      <c r="O235" t="s">
        <v>1732</v>
      </c>
      <c r="P235" t="s">
        <v>1733</v>
      </c>
      <c r="Q235" t="s">
        <v>157</v>
      </c>
      <c r="R235" t="s">
        <v>35</v>
      </c>
      <c r="S235" t="s">
        <v>36</v>
      </c>
      <c r="T235" t="s">
        <v>36</v>
      </c>
      <c r="U235" t="s">
        <v>36</v>
      </c>
      <c r="V235" t="s">
        <v>37</v>
      </c>
    </row>
    <row r="236" spans="1:27" ht="14.5">
      <c r="A236">
        <v>235</v>
      </c>
      <c r="B236" t="s">
        <v>1734</v>
      </c>
      <c r="C236" t="s">
        <v>1735</v>
      </c>
      <c r="D236" t="s">
        <v>1736</v>
      </c>
      <c r="E236" t="s">
        <v>1737</v>
      </c>
      <c r="F236" t="s">
        <v>1738</v>
      </c>
      <c r="G236">
        <v>2014</v>
      </c>
      <c r="H236" t="s">
        <v>794</v>
      </c>
      <c r="I236" t="s">
        <v>29</v>
      </c>
      <c r="J236" t="s">
        <v>29</v>
      </c>
      <c r="K236" t="s">
        <v>1739</v>
      </c>
      <c r="L236">
        <v>420</v>
      </c>
      <c r="M236">
        <v>427</v>
      </c>
      <c r="N236">
        <v>7</v>
      </c>
      <c r="O236" t="s">
        <v>1740</v>
      </c>
      <c r="P236" t="s">
        <v>1741</v>
      </c>
      <c r="Q236" t="s">
        <v>124</v>
      </c>
      <c r="R236" t="s">
        <v>35</v>
      </c>
      <c r="S236" t="s">
        <v>36</v>
      </c>
      <c r="T236" t="s">
        <v>37</v>
      </c>
    </row>
    <row r="237" spans="1:27" ht="14.5">
      <c r="A237">
        <v>236</v>
      </c>
      <c r="B237" t="s">
        <v>1742</v>
      </c>
      <c r="C237" t="s">
        <v>1743</v>
      </c>
      <c r="D237" t="s">
        <v>1744</v>
      </c>
      <c r="E237" t="s">
        <v>1745</v>
      </c>
      <c r="F237" t="s">
        <v>1746</v>
      </c>
      <c r="G237">
        <v>2021</v>
      </c>
      <c r="H237" t="s">
        <v>79</v>
      </c>
      <c r="I237" t="s">
        <v>29</v>
      </c>
      <c r="J237" t="s">
        <v>29</v>
      </c>
      <c r="K237" t="s">
        <v>29</v>
      </c>
      <c r="L237">
        <v>150</v>
      </c>
      <c r="M237">
        <v>161</v>
      </c>
      <c r="N237">
        <v>11</v>
      </c>
      <c r="O237" t="s">
        <v>1747</v>
      </c>
      <c r="P237" t="s">
        <v>1748</v>
      </c>
      <c r="Q237" t="s">
        <v>124</v>
      </c>
      <c r="R237" t="s">
        <v>35</v>
      </c>
      <c r="S237" t="s">
        <v>36</v>
      </c>
      <c r="T237" t="s">
        <v>36</v>
      </c>
      <c r="U237" t="s">
        <v>36</v>
      </c>
      <c r="V237" t="s">
        <v>36</v>
      </c>
      <c r="W237" t="s">
        <v>36</v>
      </c>
      <c r="X237" t="s">
        <v>36</v>
      </c>
      <c r="Y237" t="s">
        <v>36</v>
      </c>
      <c r="Z237" t="s">
        <v>37</v>
      </c>
    </row>
    <row r="238" spans="1:27" ht="14.5">
      <c r="A238">
        <v>237</v>
      </c>
      <c r="B238" t="s">
        <v>1749</v>
      </c>
      <c r="C238" t="s">
        <v>1750</v>
      </c>
      <c r="E238" t="s">
        <v>1745</v>
      </c>
      <c r="G238">
        <v>2021</v>
      </c>
      <c r="O238" t="s">
        <v>1751</v>
      </c>
      <c r="P238" t="s">
        <v>1752</v>
      </c>
      <c r="Q238" t="s">
        <v>310</v>
      </c>
      <c r="R238" t="s">
        <v>311</v>
      </c>
      <c r="S238" t="s">
        <v>37</v>
      </c>
    </row>
    <row r="239" spans="1:27" ht="14.5">
      <c r="A239">
        <v>238</v>
      </c>
      <c r="B239" t="s">
        <v>1753</v>
      </c>
      <c r="C239" t="s">
        <v>1754</v>
      </c>
      <c r="D239" t="s">
        <v>1755</v>
      </c>
      <c r="E239" t="s">
        <v>1756</v>
      </c>
      <c r="F239" t="s">
        <v>1757</v>
      </c>
      <c r="G239">
        <v>2013</v>
      </c>
      <c r="H239" t="s">
        <v>31</v>
      </c>
      <c r="I239" t="s">
        <v>1758</v>
      </c>
      <c r="J239" t="s">
        <v>29</v>
      </c>
      <c r="K239" t="s">
        <v>29</v>
      </c>
      <c r="L239">
        <v>131</v>
      </c>
      <c r="M239">
        <v>146</v>
      </c>
      <c r="N239">
        <v>15</v>
      </c>
      <c r="O239" t="s">
        <v>1759</v>
      </c>
      <c r="P239" t="s">
        <v>1760</v>
      </c>
      <c r="Q239" t="s">
        <v>124</v>
      </c>
      <c r="R239" t="s">
        <v>35</v>
      </c>
      <c r="S239" t="s">
        <v>36</v>
      </c>
      <c r="T239" t="s">
        <v>37</v>
      </c>
    </row>
    <row r="240" spans="1:27" ht="14.5">
      <c r="A240">
        <v>239</v>
      </c>
      <c r="B240" t="s">
        <v>1761</v>
      </c>
      <c r="C240" t="s">
        <v>1762</v>
      </c>
      <c r="D240" t="s">
        <v>1763</v>
      </c>
      <c r="E240" t="s">
        <v>1764</v>
      </c>
      <c r="F240" t="s">
        <v>1765</v>
      </c>
      <c r="G240">
        <v>2022</v>
      </c>
      <c r="H240" t="s">
        <v>41</v>
      </c>
      <c r="I240" t="s">
        <v>1766</v>
      </c>
      <c r="J240" t="s">
        <v>29</v>
      </c>
      <c r="K240" t="s">
        <v>29</v>
      </c>
      <c r="L240">
        <v>1</v>
      </c>
      <c r="M240">
        <v>17</v>
      </c>
      <c r="N240">
        <v>16</v>
      </c>
      <c r="O240" t="s">
        <v>1767</v>
      </c>
      <c r="P240" t="s">
        <v>1768</v>
      </c>
      <c r="Q240" t="s">
        <v>124</v>
      </c>
      <c r="R240" t="s">
        <v>35</v>
      </c>
      <c r="S240" t="s">
        <v>36</v>
      </c>
      <c r="T240" t="s">
        <v>36</v>
      </c>
      <c r="U240" t="s">
        <v>36</v>
      </c>
      <c r="V240" t="s">
        <v>36</v>
      </c>
      <c r="W240" t="s">
        <v>36</v>
      </c>
      <c r="X240" t="s">
        <v>36</v>
      </c>
      <c r="Y240" t="s">
        <v>37</v>
      </c>
    </row>
    <row r="241" spans="1:26" ht="14.5">
      <c r="A241">
        <v>240</v>
      </c>
      <c r="B241" t="s">
        <v>1769</v>
      </c>
      <c r="C241" t="s">
        <v>1770</v>
      </c>
      <c r="D241" t="s">
        <v>1771</v>
      </c>
      <c r="E241" t="s">
        <v>1772</v>
      </c>
      <c r="F241" t="s">
        <v>1773</v>
      </c>
      <c r="G241">
        <v>2018</v>
      </c>
      <c r="H241" t="s">
        <v>1774</v>
      </c>
      <c r="I241" t="s">
        <v>1775</v>
      </c>
      <c r="J241" t="s">
        <v>29</v>
      </c>
      <c r="K241" t="s">
        <v>29</v>
      </c>
      <c r="L241">
        <v>241</v>
      </c>
      <c r="M241">
        <v>248</v>
      </c>
      <c r="N241">
        <v>7</v>
      </c>
      <c r="O241" t="s">
        <v>1776</v>
      </c>
      <c r="P241" t="s">
        <v>1777</v>
      </c>
      <c r="Q241" t="s">
        <v>124</v>
      </c>
      <c r="R241" t="s">
        <v>35</v>
      </c>
      <c r="S241" t="s">
        <v>36</v>
      </c>
      <c r="T241" t="s">
        <v>37</v>
      </c>
    </row>
    <row r="242" spans="1:26" ht="14.5">
      <c r="A242">
        <v>241</v>
      </c>
      <c r="B242" t="s">
        <v>1778</v>
      </c>
      <c r="C242" t="s">
        <v>1779</v>
      </c>
      <c r="D242" t="s">
        <v>1780</v>
      </c>
      <c r="E242" t="s">
        <v>1781</v>
      </c>
      <c r="F242" t="s">
        <v>1782</v>
      </c>
      <c r="G242">
        <v>2019</v>
      </c>
      <c r="H242" t="s">
        <v>79</v>
      </c>
      <c r="I242" t="s">
        <v>1783</v>
      </c>
      <c r="J242" t="s">
        <v>29</v>
      </c>
      <c r="K242" t="s">
        <v>1784</v>
      </c>
      <c r="L242">
        <v>428</v>
      </c>
      <c r="M242">
        <v>433</v>
      </c>
      <c r="N242">
        <v>5</v>
      </c>
      <c r="O242" t="s">
        <v>1785</v>
      </c>
      <c r="P242" t="s">
        <v>1786</v>
      </c>
      <c r="Q242" t="s">
        <v>124</v>
      </c>
      <c r="R242" t="s">
        <v>35</v>
      </c>
      <c r="S242" t="s">
        <v>36</v>
      </c>
      <c r="T242" t="s">
        <v>36</v>
      </c>
      <c r="U242" t="s">
        <v>36</v>
      </c>
      <c r="V242" t="s">
        <v>36</v>
      </c>
      <c r="W242" t="s">
        <v>36</v>
      </c>
      <c r="X242" t="s">
        <v>36</v>
      </c>
      <c r="Y242" t="s">
        <v>36</v>
      </c>
      <c r="Z242" t="s">
        <v>37</v>
      </c>
    </row>
    <row r="243" spans="1:26" ht="14.5">
      <c r="A243">
        <v>242</v>
      </c>
      <c r="B243" t="s">
        <v>1787</v>
      </c>
      <c r="C243" t="s">
        <v>1788</v>
      </c>
      <c r="D243" t="s">
        <v>1789</v>
      </c>
      <c r="E243" t="s">
        <v>1790</v>
      </c>
      <c r="F243" t="s">
        <v>1791</v>
      </c>
      <c r="G243">
        <v>2006</v>
      </c>
      <c r="H243" t="s">
        <v>1792</v>
      </c>
      <c r="I243" t="s">
        <v>29</v>
      </c>
      <c r="J243" t="s">
        <v>29</v>
      </c>
      <c r="K243" t="s">
        <v>1793</v>
      </c>
      <c r="L243">
        <v>199</v>
      </c>
      <c r="O243" t="s">
        <v>1794</v>
      </c>
      <c r="P243" t="s">
        <v>1795</v>
      </c>
      <c r="Q243" t="s">
        <v>124</v>
      </c>
      <c r="R243" t="s">
        <v>35</v>
      </c>
      <c r="S243" t="s">
        <v>36</v>
      </c>
      <c r="T243" t="s">
        <v>37</v>
      </c>
    </row>
    <row r="244" spans="1:26" ht="14.5">
      <c r="A244">
        <v>243</v>
      </c>
      <c r="B244" t="s">
        <v>1796</v>
      </c>
      <c r="C244" t="s">
        <v>1797</v>
      </c>
      <c r="D244" t="s">
        <v>1798</v>
      </c>
      <c r="E244" t="s">
        <v>1799</v>
      </c>
      <c r="F244" t="s">
        <v>1800</v>
      </c>
      <c r="G244">
        <v>2012</v>
      </c>
      <c r="H244" t="s">
        <v>1801</v>
      </c>
      <c r="I244" t="s">
        <v>29</v>
      </c>
      <c r="J244" t="s">
        <v>29</v>
      </c>
      <c r="K244" t="s">
        <v>29</v>
      </c>
      <c r="N244">
        <v>14</v>
      </c>
      <c r="O244" t="s">
        <v>29</v>
      </c>
      <c r="P244" t="s">
        <v>1802</v>
      </c>
      <c r="Q244" t="s">
        <v>124</v>
      </c>
      <c r="R244" t="s">
        <v>35</v>
      </c>
      <c r="S244" t="s">
        <v>36</v>
      </c>
      <c r="T244" t="s">
        <v>37</v>
      </c>
    </row>
    <row r="245" spans="1:26" ht="14.5">
      <c r="A245">
        <v>244</v>
      </c>
      <c r="B245" t="s">
        <v>1803</v>
      </c>
      <c r="C245" t="s">
        <v>1804</v>
      </c>
      <c r="D245" t="s">
        <v>1805</v>
      </c>
      <c r="E245" t="s">
        <v>1806</v>
      </c>
      <c r="F245" t="s">
        <v>1807</v>
      </c>
      <c r="G245">
        <v>2022</v>
      </c>
      <c r="H245" t="s">
        <v>1808</v>
      </c>
      <c r="I245" t="s">
        <v>29</v>
      </c>
      <c r="J245" t="s">
        <v>29</v>
      </c>
      <c r="K245" t="s">
        <v>29</v>
      </c>
      <c r="L245">
        <v>13</v>
      </c>
      <c r="M245">
        <v>17</v>
      </c>
      <c r="N245">
        <v>4</v>
      </c>
      <c r="O245" t="s">
        <v>1809</v>
      </c>
      <c r="P245" t="s">
        <v>1810</v>
      </c>
      <c r="Q245" t="s">
        <v>124</v>
      </c>
      <c r="R245" t="s">
        <v>35</v>
      </c>
      <c r="S245" t="s">
        <v>36</v>
      </c>
      <c r="T245" t="s">
        <v>36</v>
      </c>
      <c r="U245" t="s">
        <v>36</v>
      </c>
      <c r="V245" t="s">
        <v>36</v>
      </c>
      <c r="W245" t="s">
        <v>36</v>
      </c>
      <c r="X245" t="s">
        <v>36</v>
      </c>
      <c r="Y245" t="s">
        <v>36</v>
      </c>
      <c r="Z245" t="s">
        <v>37</v>
      </c>
    </row>
    <row r="246" spans="1:26" ht="14.5">
      <c r="A246">
        <v>245</v>
      </c>
      <c r="B246" t="s">
        <v>1811</v>
      </c>
      <c r="C246" t="s">
        <v>1812</v>
      </c>
      <c r="D246" t="s">
        <v>1813</v>
      </c>
      <c r="E246" t="s">
        <v>1814</v>
      </c>
      <c r="F246" t="s">
        <v>1815</v>
      </c>
      <c r="G246">
        <v>2017</v>
      </c>
      <c r="H246" t="s">
        <v>41</v>
      </c>
      <c r="I246" t="s">
        <v>42</v>
      </c>
      <c r="J246" t="s">
        <v>29</v>
      </c>
      <c r="K246" t="s">
        <v>29</v>
      </c>
      <c r="L246">
        <v>77</v>
      </c>
      <c r="M246">
        <v>84</v>
      </c>
      <c r="N246">
        <v>7</v>
      </c>
      <c r="O246" t="s">
        <v>1816</v>
      </c>
      <c r="P246" t="s">
        <v>1817</v>
      </c>
      <c r="Q246" t="s">
        <v>124</v>
      </c>
      <c r="R246" t="s">
        <v>35</v>
      </c>
      <c r="S246" t="s">
        <v>36</v>
      </c>
      <c r="T246" t="s">
        <v>37</v>
      </c>
    </row>
    <row r="247" spans="1:26" ht="14.5">
      <c r="A247">
        <v>246</v>
      </c>
      <c r="B247" t="s">
        <v>1818</v>
      </c>
      <c r="C247" t="s">
        <v>1819</v>
      </c>
      <c r="E247" t="s">
        <v>1820</v>
      </c>
      <c r="G247">
        <v>2017</v>
      </c>
      <c r="H247" t="s">
        <v>1821</v>
      </c>
      <c r="L247">
        <v>77</v>
      </c>
      <c r="M247">
        <v>84</v>
      </c>
      <c r="N247">
        <v>7</v>
      </c>
      <c r="O247" t="s">
        <v>1816</v>
      </c>
      <c r="P247" t="s">
        <v>1822</v>
      </c>
      <c r="Q247" t="s">
        <v>310</v>
      </c>
      <c r="R247" t="s">
        <v>311</v>
      </c>
      <c r="S247" t="s">
        <v>36</v>
      </c>
      <c r="T247" t="s">
        <v>37</v>
      </c>
    </row>
    <row r="248" spans="1:26" ht="14.5">
      <c r="A248">
        <v>247</v>
      </c>
      <c r="B248" t="s">
        <v>1823</v>
      </c>
      <c r="C248" t="s">
        <v>1824</v>
      </c>
      <c r="D248" t="s">
        <v>1825</v>
      </c>
      <c r="E248" t="s">
        <v>1826</v>
      </c>
      <c r="F248" t="s">
        <v>1827</v>
      </c>
      <c r="G248">
        <v>2020</v>
      </c>
      <c r="H248" t="s">
        <v>41</v>
      </c>
      <c r="I248" t="s">
        <v>1298</v>
      </c>
      <c r="J248" t="s">
        <v>29</v>
      </c>
      <c r="K248" t="s">
        <v>29</v>
      </c>
      <c r="L248">
        <v>143</v>
      </c>
      <c r="M248">
        <v>159</v>
      </c>
      <c r="N248">
        <v>16</v>
      </c>
      <c r="O248" t="s">
        <v>1828</v>
      </c>
      <c r="P248" t="s">
        <v>1829</v>
      </c>
      <c r="Q248" t="s">
        <v>124</v>
      </c>
      <c r="R248" t="s">
        <v>35</v>
      </c>
      <c r="S248" t="s">
        <v>36</v>
      </c>
      <c r="T248" t="s">
        <v>36</v>
      </c>
      <c r="U248" t="s">
        <v>36</v>
      </c>
      <c r="V248" t="s">
        <v>36</v>
      </c>
      <c r="W248" t="s">
        <v>36</v>
      </c>
      <c r="X248" t="s">
        <v>36</v>
      </c>
      <c r="Y248" t="s">
        <v>36</v>
      </c>
      <c r="Z248" t="s">
        <v>37</v>
      </c>
    </row>
    <row r="249" spans="1:26" ht="14.5">
      <c r="A249">
        <v>248</v>
      </c>
      <c r="B249" t="s">
        <v>1830</v>
      </c>
      <c r="C249" t="s">
        <v>1831</v>
      </c>
      <c r="E249" t="s">
        <v>1832</v>
      </c>
      <c r="F249" t="s">
        <v>1833</v>
      </c>
      <c r="G249">
        <v>2020</v>
      </c>
      <c r="O249" t="s">
        <v>1834</v>
      </c>
      <c r="P249" t="s">
        <v>1835</v>
      </c>
      <c r="Q249" t="s">
        <v>310</v>
      </c>
      <c r="R249" t="s">
        <v>311</v>
      </c>
      <c r="S249" t="s">
        <v>36</v>
      </c>
      <c r="T249" t="s">
        <v>36</v>
      </c>
      <c r="U249" t="s">
        <v>37</v>
      </c>
    </row>
    <row r="250" spans="1:26" ht="14.5">
      <c r="A250">
        <v>249</v>
      </c>
      <c r="B250" t="s">
        <v>1836</v>
      </c>
      <c r="C250" t="s">
        <v>1837</v>
      </c>
      <c r="D250" t="s">
        <v>1838</v>
      </c>
      <c r="E250" t="s">
        <v>1839</v>
      </c>
      <c r="F250" t="s">
        <v>1840</v>
      </c>
      <c r="G250">
        <v>2013</v>
      </c>
      <c r="H250" t="s">
        <v>1841</v>
      </c>
      <c r="I250" t="s">
        <v>29</v>
      </c>
      <c r="J250" t="s">
        <v>29</v>
      </c>
      <c r="K250" t="s">
        <v>1842</v>
      </c>
      <c r="L250">
        <v>140</v>
      </c>
      <c r="M250">
        <v>147</v>
      </c>
      <c r="N250">
        <v>7</v>
      </c>
      <c r="O250" t="s">
        <v>1843</v>
      </c>
      <c r="P250" t="s">
        <v>1844</v>
      </c>
      <c r="Q250" t="s">
        <v>124</v>
      </c>
      <c r="R250" t="s">
        <v>35</v>
      </c>
      <c r="S250" t="s">
        <v>36</v>
      </c>
      <c r="T250" t="s">
        <v>37</v>
      </c>
    </row>
    <row r="251" spans="1:26" ht="14.5">
      <c r="A251">
        <v>250</v>
      </c>
      <c r="B251" t="s">
        <v>1845</v>
      </c>
      <c r="C251" t="s">
        <v>1846</v>
      </c>
      <c r="D251" t="s">
        <v>1847</v>
      </c>
      <c r="E251" t="s">
        <v>1848</v>
      </c>
      <c r="F251" t="s">
        <v>1849</v>
      </c>
      <c r="G251">
        <v>2022</v>
      </c>
      <c r="H251" t="s">
        <v>1850</v>
      </c>
      <c r="I251" t="s">
        <v>29</v>
      </c>
      <c r="J251" t="s">
        <v>29</v>
      </c>
      <c r="K251" t="s">
        <v>29</v>
      </c>
      <c r="L251">
        <v>895</v>
      </c>
      <c r="M251">
        <v>904</v>
      </c>
      <c r="N251">
        <v>9</v>
      </c>
      <c r="O251" t="s">
        <v>1851</v>
      </c>
      <c r="P251" t="s">
        <v>1852</v>
      </c>
      <c r="Q251" t="s">
        <v>124</v>
      </c>
      <c r="R251" t="s">
        <v>35</v>
      </c>
      <c r="S251" t="s">
        <v>36</v>
      </c>
      <c r="T251" t="s">
        <v>36</v>
      </c>
      <c r="U251" t="s">
        <v>36</v>
      </c>
      <c r="V251" t="s">
        <v>36</v>
      </c>
      <c r="W251" t="s">
        <v>36</v>
      </c>
      <c r="X251" t="s">
        <v>36</v>
      </c>
      <c r="Y251" t="s">
        <v>36</v>
      </c>
      <c r="Z251" t="s">
        <v>37</v>
      </c>
    </row>
    <row r="252" spans="1:26" ht="14.5">
      <c r="A252">
        <v>251</v>
      </c>
      <c r="B252" t="s">
        <v>1853</v>
      </c>
      <c r="C252" t="s">
        <v>1854</v>
      </c>
      <c r="D252" t="s">
        <v>1855</v>
      </c>
      <c r="E252" t="s">
        <v>1856</v>
      </c>
      <c r="F252" t="s">
        <v>1857</v>
      </c>
      <c r="G252">
        <v>2019</v>
      </c>
      <c r="H252" t="s">
        <v>79</v>
      </c>
      <c r="I252" t="s">
        <v>1783</v>
      </c>
      <c r="J252" t="s">
        <v>29</v>
      </c>
      <c r="K252" t="s">
        <v>1858</v>
      </c>
      <c r="L252">
        <v>86</v>
      </c>
      <c r="M252">
        <v>97</v>
      </c>
      <c r="N252">
        <v>11</v>
      </c>
      <c r="O252" t="s">
        <v>1859</v>
      </c>
      <c r="P252" t="s">
        <v>1860</v>
      </c>
      <c r="Q252" t="s">
        <v>124</v>
      </c>
      <c r="R252" t="s">
        <v>35</v>
      </c>
      <c r="S252" t="s">
        <v>36</v>
      </c>
      <c r="T252" t="s">
        <v>36</v>
      </c>
      <c r="U252" t="s">
        <v>36</v>
      </c>
      <c r="V252" t="s">
        <v>36</v>
      </c>
      <c r="W252" t="s">
        <v>36</v>
      </c>
      <c r="X252" t="s">
        <v>36</v>
      </c>
      <c r="Y252" t="s">
        <v>36</v>
      </c>
      <c r="Z252" t="s">
        <v>37</v>
      </c>
    </row>
    <row r="253" spans="1:26" ht="14.5">
      <c r="A253">
        <v>252</v>
      </c>
      <c r="B253" t="s">
        <v>1861</v>
      </c>
      <c r="C253" t="s">
        <v>1862</v>
      </c>
      <c r="D253" t="s">
        <v>1863</v>
      </c>
      <c r="E253" t="s">
        <v>1864</v>
      </c>
      <c r="F253" t="s">
        <v>1865</v>
      </c>
      <c r="G253">
        <v>2020</v>
      </c>
      <c r="H253" t="s">
        <v>565</v>
      </c>
      <c r="I253" t="s">
        <v>1866</v>
      </c>
      <c r="J253" t="s">
        <v>567</v>
      </c>
      <c r="K253" t="s">
        <v>29</v>
      </c>
      <c r="L253">
        <v>439</v>
      </c>
      <c r="M253">
        <v>468</v>
      </c>
      <c r="N253">
        <v>29</v>
      </c>
      <c r="O253" t="s">
        <v>1867</v>
      </c>
      <c r="P253" t="s">
        <v>1868</v>
      </c>
      <c r="Q253" t="s">
        <v>157</v>
      </c>
      <c r="R253" t="s">
        <v>35</v>
      </c>
      <c r="S253" t="s">
        <v>36</v>
      </c>
      <c r="T253" t="s">
        <v>36</v>
      </c>
      <c r="U253" t="s">
        <v>36</v>
      </c>
      <c r="V253" t="s">
        <v>36</v>
      </c>
      <c r="W253" t="s">
        <v>36</v>
      </c>
      <c r="X253" t="s">
        <v>36</v>
      </c>
      <c r="Y253" t="s">
        <v>36</v>
      </c>
      <c r="Z253" t="s">
        <v>37</v>
      </c>
    </row>
    <row r="254" spans="1:26" ht="14.5">
      <c r="A254">
        <v>253</v>
      </c>
      <c r="B254" t="s">
        <v>1869</v>
      </c>
      <c r="C254" t="s">
        <v>1870</v>
      </c>
      <c r="E254" t="s">
        <v>1871</v>
      </c>
      <c r="G254">
        <v>2020</v>
      </c>
      <c r="O254" t="s">
        <v>1872</v>
      </c>
      <c r="P254" t="s">
        <v>1873</v>
      </c>
      <c r="Q254" t="s">
        <v>310</v>
      </c>
      <c r="R254" t="s">
        <v>311</v>
      </c>
      <c r="S254" t="s">
        <v>37</v>
      </c>
    </row>
    <row r="255" spans="1:26" ht="14.5">
      <c r="A255">
        <v>254</v>
      </c>
      <c r="B255" t="s">
        <v>1874</v>
      </c>
      <c r="C255" t="s">
        <v>1874</v>
      </c>
      <c r="E255" t="s">
        <v>1875</v>
      </c>
      <c r="G255">
        <v>2019</v>
      </c>
      <c r="O255" t="s">
        <v>1876</v>
      </c>
      <c r="P255" t="s">
        <v>1877</v>
      </c>
      <c r="Q255" t="s">
        <v>310</v>
      </c>
      <c r="R255" t="s">
        <v>311</v>
      </c>
      <c r="S255" t="s">
        <v>37</v>
      </c>
    </row>
    <row r="256" spans="1:26" ht="14.5">
      <c r="A256">
        <v>255</v>
      </c>
      <c r="B256" t="s">
        <v>1878</v>
      </c>
      <c r="C256" t="s">
        <v>1879</v>
      </c>
      <c r="D256" t="s">
        <v>1880</v>
      </c>
      <c r="E256" t="s">
        <v>1881</v>
      </c>
      <c r="F256" t="s">
        <v>1882</v>
      </c>
      <c r="G256">
        <v>2019</v>
      </c>
      <c r="H256" t="s">
        <v>1883</v>
      </c>
      <c r="I256" t="s">
        <v>1884</v>
      </c>
      <c r="J256" t="s">
        <v>567</v>
      </c>
      <c r="K256" t="s">
        <v>29</v>
      </c>
      <c r="L256">
        <v>193</v>
      </c>
      <c r="M256">
        <v>196</v>
      </c>
      <c r="N256">
        <v>3</v>
      </c>
      <c r="O256" t="s">
        <v>1885</v>
      </c>
      <c r="P256" t="s">
        <v>1886</v>
      </c>
      <c r="Q256" t="s">
        <v>157</v>
      </c>
      <c r="R256" t="s">
        <v>35</v>
      </c>
      <c r="S256" t="s">
        <v>36</v>
      </c>
      <c r="T256" t="s">
        <v>36</v>
      </c>
      <c r="U256" t="s">
        <v>36</v>
      </c>
      <c r="V256" t="s">
        <v>36</v>
      </c>
      <c r="W256" t="s">
        <v>36</v>
      </c>
      <c r="X256" t="s">
        <v>36</v>
      </c>
      <c r="Y256" t="s">
        <v>37</v>
      </c>
    </row>
    <row r="257" spans="1:27" ht="14.5">
      <c r="A257">
        <v>256</v>
      </c>
      <c r="B257" t="s">
        <v>1887</v>
      </c>
      <c r="C257" t="s">
        <v>1888</v>
      </c>
      <c r="D257" t="s">
        <v>1889</v>
      </c>
      <c r="E257" t="s">
        <v>1890</v>
      </c>
      <c r="F257" t="s">
        <v>1487</v>
      </c>
      <c r="G257">
        <v>2016</v>
      </c>
      <c r="H257" t="s">
        <v>41</v>
      </c>
      <c r="I257" t="s">
        <v>1290</v>
      </c>
      <c r="J257" t="s">
        <v>29</v>
      </c>
      <c r="K257" t="s">
        <v>29</v>
      </c>
      <c r="L257">
        <v>161</v>
      </c>
      <c r="M257">
        <v>167</v>
      </c>
      <c r="N257">
        <v>6</v>
      </c>
      <c r="O257" t="s">
        <v>1891</v>
      </c>
      <c r="P257" t="s">
        <v>1892</v>
      </c>
      <c r="Q257" t="s">
        <v>124</v>
      </c>
      <c r="R257" t="s">
        <v>35</v>
      </c>
      <c r="S257" t="s">
        <v>36</v>
      </c>
      <c r="T257" t="s">
        <v>37</v>
      </c>
    </row>
    <row r="258" spans="1:27" ht="14.5">
      <c r="A258">
        <v>257</v>
      </c>
      <c r="B258" t="s">
        <v>1893</v>
      </c>
      <c r="C258" t="s">
        <v>1894</v>
      </c>
      <c r="D258" t="s">
        <v>1895</v>
      </c>
      <c r="E258" t="s">
        <v>1896</v>
      </c>
      <c r="F258" t="s">
        <v>1897</v>
      </c>
      <c r="G258">
        <v>2023</v>
      </c>
      <c r="H258" t="s">
        <v>1898</v>
      </c>
      <c r="I258" t="s">
        <v>29</v>
      </c>
      <c r="J258" t="s">
        <v>29</v>
      </c>
      <c r="K258" t="s">
        <v>29</v>
      </c>
      <c r="L258">
        <v>617</v>
      </c>
      <c r="M258">
        <v>622</v>
      </c>
      <c r="N258">
        <v>5</v>
      </c>
      <c r="O258" t="s">
        <v>1899</v>
      </c>
      <c r="P258" t="s">
        <v>1900</v>
      </c>
      <c r="Q258" t="s">
        <v>124</v>
      </c>
      <c r="R258" t="s">
        <v>35</v>
      </c>
      <c r="S258" t="s">
        <v>36</v>
      </c>
      <c r="T258" t="s">
        <v>36</v>
      </c>
      <c r="U258" t="s">
        <v>36</v>
      </c>
      <c r="V258" t="s">
        <v>36</v>
      </c>
      <c r="W258" t="s">
        <v>36</v>
      </c>
      <c r="X258" t="s">
        <v>36</v>
      </c>
      <c r="Y258" t="s">
        <v>36</v>
      </c>
      <c r="Z258" t="s">
        <v>37</v>
      </c>
    </row>
    <row r="259" spans="1:27" s="42" customFormat="1" ht="14.5">
      <c r="A259" s="42">
        <v>258</v>
      </c>
      <c r="B259" s="42" t="s">
        <v>1901</v>
      </c>
      <c r="C259" s="42" t="s">
        <v>1902</v>
      </c>
      <c r="D259" s="42" t="s">
        <v>1903</v>
      </c>
      <c r="E259" s="42" t="s">
        <v>1904</v>
      </c>
      <c r="F259" s="42" t="s">
        <v>1905</v>
      </c>
      <c r="G259" s="42">
        <v>2023</v>
      </c>
      <c r="H259" s="42" t="s">
        <v>1906</v>
      </c>
      <c r="I259" s="42" t="s">
        <v>29</v>
      </c>
      <c r="J259" s="42" t="s">
        <v>29</v>
      </c>
      <c r="K259" s="42" t="s">
        <v>29</v>
      </c>
      <c r="L259" s="42">
        <v>220</v>
      </c>
      <c r="M259" s="42">
        <v>229</v>
      </c>
      <c r="N259" s="42">
        <v>9</v>
      </c>
      <c r="O259" s="42" t="s">
        <v>1907</v>
      </c>
      <c r="P259" s="42" t="s">
        <v>1908</v>
      </c>
      <c r="Q259" s="42" t="s">
        <v>124</v>
      </c>
      <c r="R259" s="42" t="s">
        <v>35</v>
      </c>
      <c r="S259" s="42" t="s">
        <v>36</v>
      </c>
      <c r="T259" s="42" t="s">
        <v>36</v>
      </c>
      <c r="U259" s="42" t="s">
        <v>36</v>
      </c>
      <c r="V259" s="42" t="s">
        <v>36</v>
      </c>
      <c r="W259" s="42" t="s">
        <v>36</v>
      </c>
      <c r="X259" s="42" t="s">
        <v>36</v>
      </c>
      <c r="Y259" s="42" t="s">
        <v>36</v>
      </c>
      <c r="Z259" s="42" t="s">
        <v>36</v>
      </c>
      <c r="AA259" s="42" t="s">
        <v>36</v>
      </c>
    </row>
    <row r="260" spans="1:27" ht="14.5">
      <c r="A260">
        <v>259</v>
      </c>
      <c r="B260" t="s">
        <v>1909</v>
      </c>
      <c r="C260" t="s">
        <v>1910</v>
      </c>
      <c r="D260" t="s">
        <v>1911</v>
      </c>
      <c r="E260" t="s">
        <v>1912</v>
      </c>
      <c r="F260" t="s">
        <v>1913</v>
      </c>
      <c r="G260">
        <v>2022</v>
      </c>
      <c r="H260" t="s">
        <v>67</v>
      </c>
      <c r="I260" t="s">
        <v>1914</v>
      </c>
      <c r="J260" t="s">
        <v>29</v>
      </c>
      <c r="K260" t="s">
        <v>29</v>
      </c>
      <c r="L260">
        <v>7</v>
      </c>
      <c r="M260">
        <v>13</v>
      </c>
      <c r="N260">
        <v>6</v>
      </c>
      <c r="O260" t="s">
        <v>29</v>
      </c>
      <c r="P260" t="s">
        <v>1915</v>
      </c>
      <c r="Q260" t="s">
        <v>124</v>
      </c>
      <c r="R260" t="s">
        <v>35</v>
      </c>
      <c r="S260" t="s">
        <v>36</v>
      </c>
      <c r="T260" t="s">
        <v>36</v>
      </c>
      <c r="U260" t="s">
        <v>36</v>
      </c>
      <c r="V260" t="s">
        <v>36</v>
      </c>
      <c r="W260" t="s">
        <v>36</v>
      </c>
      <c r="X260" t="s">
        <v>36</v>
      </c>
      <c r="Y260" t="s">
        <v>36</v>
      </c>
      <c r="Z260" t="s">
        <v>36</v>
      </c>
      <c r="AA260" t="s">
        <v>37</v>
      </c>
    </row>
    <row r="261" spans="1:27" ht="14.5">
      <c r="A261">
        <v>260</v>
      </c>
      <c r="B261" t="s">
        <v>1916</v>
      </c>
      <c r="C261" t="s">
        <v>1917</v>
      </c>
      <c r="D261" t="s">
        <v>1918</v>
      </c>
      <c r="E261" t="s">
        <v>1919</v>
      </c>
      <c r="F261" t="s">
        <v>1920</v>
      </c>
      <c r="G261">
        <v>2024</v>
      </c>
      <c r="H261" t="s">
        <v>1921</v>
      </c>
      <c r="I261" t="s">
        <v>1078</v>
      </c>
      <c r="J261" t="s">
        <v>567</v>
      </c>
      <c r="K261" t="s">
        <v>1922</v>
      </c>
      <c r="O261" t="s">
        <v>1923</v>
      </c>
      <c r="P261" t="s">
        <v>1924</v>
      </c>
      <c r="Q261" t="s">
        <v>157</v>
      </c>
      <c r="R261" t="s">
        <v>35</v>
      </c>
      <c r="S261" t="s">
        <v>36</v>
      </c>
      <c r="T261" t="s">
        <v>36</v>
      </c>
      <c r="U261" t="s">
        <v>36</v>
      </c>
      <c r="V261" t="s">
        <v>36</v>
      </c>
      <c r="W261" t="s">
        <v>36</v>
      </c>
      <c r="X261" t="s">
        <v>36</v>
      </c>
      <c r="Y261" t="s">
        <v>36</v>
      </c>
      <c r="Z261" t="s">
        <v>37</v>
      </c>
    </row>
    <row r="262" spans="1:27" ht="14.5">
      <c r="A262">
        <v>261</v>
      </c>
      <c r="B262" t="s">
        <v>1925</v>
      </c>
      <c r="C262" t="s">
        <v>1926</v>
      </c>
      <c r="D262" t="s">
        <v>1927</v>
      </c>
      <c r="E262" t="s">
        <v>1928</v>
      </c>
      <c r="F262" t="s">
        <v>1929</v>
      </c>
      <c r="G262">
        <v>2017</v>
      </c>
      <c r="H262" t="s">
        <v>247</v>
      </c>
      <c r="I262" t="s">
        <v>29</v>
      </c>
      <c r="J262" t="s">
        <v>29</v>
      </c>
      <c r="K262" t="s">
        <v>1930</v>
      </c>
      <c r="L262">
        <v>281</v>
      </c>
      <c r="M262">
        <v>288</v>
      </c>
      <c r="N262">
        <v>7</v>
      </c>
      <c r="O262" t="s">
        <v>1931</v>
      </c>
      <c r="P262" t="s">
        <v>1932</v>
      </c>
      <c r="Q262" t="s">
        <v>124</v>
      </c>
      <c r="R262" t="s">
        <v>35</v>
      </c>
      <c r="S262" t="s">
        <v>36</v>
      </c>
      <c r="T262" t="s">
        <v>37</v>
      </c>
    </row>
    <row r="263" spans="1:27" s="42" customFormat="1" ht="14.5">
      <c r="A263" s="42">
        <v>262</v>
      </c>
      <c r="B263" s="42" t="s">
        <v>1933</v>
      </c>
      <c r="C263" s="42" t="s">
        <v>1934</v>
      </c>
      <c r="E263" s="42" t="s">
        <v>1935</v>
      </c>
      <c r="F263" s="42" t="s">
        <v>1936</v>
      </c>
      <c r="G263" s="42">
        <v>2024</v>
      </c>
      <c r="H263" s="42" t="s">
        <v>2965</v>
      </c>
      <c r="L263" s="42">
        <v>71</v>
      </c>
      <c r="M263" s="42">
        <v>108</v>
      </c>
      <c r="N263" s="42">
        <v>37</v>
      </c>
      <c r="O263" s="42" t="s">
        <v>2966</v>
      </c>
      <c r="P263" s="42" t="s">
        <v>2967</v>
      </c>
      <c r="Q263" s="36" t="s">
        <v>685</v>
      </c>
      <c r="R263" s="36" t="s">
        <v>35</v>
      </c>
      <c r="S263" s="42" t="s">
        <v>36</v>
      </c>
      <c r="T263" s="42" t="s">
        <v>36</v>
      </c>
      <c r="U263" s="42" t="s">
        <v>36</v>
      </c>
      <c r="V263" s="42" t="s">
        <v>36</v>
      </c>
      <c r="W263" s="42" t="s">
        <v>36</v>
      </c>
      <c r="X263" s="42" t="s">
        <v>36</v>
      </c>
      <c r="Y263" s="42" t="s">
        <v>36</v>
      </c>
      <c r="Z263" s="42" t="s">
        <v>36</v>
      </c>
      <c r="AA263" s="42" t="s">
        <v>36</v>
      </c>
    </row>
    <row r="264" spans="1:27" ht="14.5">
      <c r="A264">
        <v>263</v>
      </c>
      <c r="B264" t="s">
        <v>1939</v>
      </c>
      <c r="C264" t="s">
        <v>1940</v>
      </c>
      <c r="D264" t="s">
        <v>1941</v>
      </c>
      <c r="E264" t="s">
        <v>1942</v>
      </c>
      <c r="F264" t="s">
        <v>1943</v>
      </c>
      <c r="G264">
        <v>2020</v>
      </c>
      <c r="H264" t="s">
        <v>1944</v>
      </c>
      <c r="I264" t="s">
        <v>29</v>
      </c>
      <c r="J264" t="s">
        <v>29</v>
      </c>
      <c r="K264" t="s">
        <v>29</v>
      </c>
      <c r="L264">
        <v>199</v>
      </c>
      <c r="M264">
        <v>208</v>
      </c>
      <c r="N264">
        <v>9</v>
      </c>
      <c r="O264" t="s">
        <v>1945</v>
      </c>
      <c r="P264" t="s">
        <v>1946</v>
      </c>
      <c r="Q264" t="s">
        <v>124</v>
      </c>
      <c r="R264" t="s">
        <v>35</v>
      </c>
      <c r="S264" t="s">
        <v>36</v>
      </c>
      <c r="T264" t="s">
        <v>36</v>
      </c>
      <c r="U264" t="s">
        <v>36</v>
      </c>
      <c r="V264" t="s">
        <v>36</v>
      </c>
      <c r="W264" t="s">
        <v>36</v>
      </c>
      <c r="X264" t="s">
        <v>36</v>
      </c>
      <c r="Y264" t="s">
        <v>36</v>
      </c>
      <c r="Z264" t="s">
        <v>37</v>
      </c>
    </row>
    <row r="265" spans="1:27" ht="14.5">
      <c r="A265">
        <v>264</v>
      </c>
      <c r="B265" t="s">
        <v>1947</v>
      </c>
      <c r="C265" t="s">
        <v>1948</v>
      </c>
      <c r="D265" t="s">
        <v>1949</v>
      </c>
      <c r="E265" t="s">
        <v>1950</v>
      </c>
      <c r="F265" t="s">
        <v>1951</v>
      </c>
      <c r="G265">
        <v>2020</v>
      </c>
      <c r="H265" t="s">
        <v>1952</v>
      </c>
      <c r="I265" t="s">
        <v>1953</v>
      </c>
      <c r="J265" t="s">
        <v>29</v>
      </c>
      <c r="K265" t="s">
        <v>29</v>
      </c>
      <c r="L265">
        <v>141</v>
      </c>
      <c r="M265">
        <v>142</v>
      </c>
      <c r="N265">
        <v>1</v>
      </c>
      <c r="O265" t="s">
        <v>1954</v>
      </c>
      <c r="P265" t="s">
        <v>1955</v>
      </c>
      <c r="Q265" t="s">
        <v>124</v>
      </c>
      <c r="R265" t="s">
        <v>35</v>
      </c>
      <c r="S265" t="s">
        <v>36</v>
      </c>
      <c r="T265" t="s">
        <v>36</v>
      </c>
      <c r="U265" t="s">
        <v>36</v>
      </c>
      <c r="V265" t="s">
        <v>36</v>
      </c>
      <c r="W265" t="s">
        <v>36</v>
      </c>
      <c r="X265" t="s">
        <v>37</v>
      </c>
    </row>
    <row r="266" spans="1:27" ht="14.5">
      <c r="A266">
        <v>265</v>
      </c>
      <c r="B266" t="s">
        <v>1956</v>
      </c>
      <c r="C266" t="s">
        <v>1957</v>
      </c>
      <c r="D266" t="s">
        <v>1958</v>
      </c>
      <c r="E266" t="s">
        <v>1959</v>
      </c>
      <c r="F266" t="s">
        <v>1960</v>
      </c>
      <c r="G266">
        <v>2017</v>
      </c>
      <c r="H266" t="s">
        <v>247</v>
      </c>
      <c r="I266" t="s">
        <v>29</v>
      </c>
      <c r="J266" t="s">
        <v>29</v>
      </c>
      <c r="K266" t="s">
        <v>1961</v>
      </c>
      <c r="L266">
        <v>39</v>
      </c>
      <c r="M266">
        <v>45</v>
      </c>
      <c r="N266">
        <v>6</v>
      </c>
      <c r="O266" t="s">
        <v>1962</v>
      </c>
      <c r="P266" t="s">
        <v>1963</v>
      </c>
      <c r="Q266" t="s">
        <v>124</v>
      </c>
      <c r="R266" t="s">
        <v>35</v>
      </c>
      <c r="S266" t="s">
        <v>36</v>
      </c>
      <c r="T266" t="s">
        <v>37</v>
      </c>
    </row>
    <row r="267" spans="1:27" ht="14.5">
      <c r="A267">
        <v>266</v>
      </c>
      <c r="B267" t="s">
        <v>1964</v>
      </c>
      <c r="C267" t="s">
        <v>1965</v>
      </c>
      <c r="D267" t="s">
        <v>1949</v>
      </c>
      <c r="E267" t="s">
        <v>1966</v>
      </c>
      <c r="F267" t="s">
        <v>1967</v>
      </c>
      <c r="G267">
        <v>2019</v>
      </c>
      <c r="H267" t="s">
        <v>79</v>
      </c>
      <c r="I267" t="s">
        <v>1783</v>
      </c>
      <c r="J267" t="s">
        <v>29</v>
      </c>
      <c r="K267" t="s">
        <v>1968</v>
      </c>
      <c r="L267">
        <v>120</v>
      </c>
      <c r="M267">
        <v>130</v>
      </c>
      <c r="N267">
        <v>10</v>
      </c>
      <c r="O267" t="s">
        <v>1969</v>
      </c>
      <c r="P267" t="s">
        <v>1970</v>
      </c>
      <c r="Q267" t="s">
        <v>124</v>
      </c>
      <c r="R267" t="s">
        <v>35</v>
      </c>
      <c r="S267" t="s">
        <v>37</v>
      </c>
    </row>
    <row r="268" spans="1:27" ht="14.5">
      <c r="A268">
        <v>267</v>
      </c>
      <c r="B268" t="s">
        <v>1971</v>
      </c>
      <c r="C268" t="s">
        <v>1972</v>
      </c>
      <c r="D268" t="s">
        <v>1958</v>
      </c>
      <c r="E268" t="s">
        <v>1973</v>
      </c>
      <c r="F268" t="s">
        <v>1974</v>
      </c>
      <c r="G268">
        <v>2018</v>
      </c>
      <c r="H268" t="s">
        <v>41</v>
      </c>
      <c r="I268" t="s">
        <v>45</v>
      </c>
      <c r="J268" t="s">
        <v>29</v>
      </c>
      <c r="K268" t="s">
        <v>29</v>
      </c>
      <c r="L268">
        <v>57</v>
      </c>
      <c r="M268">
        <v>71</v>
      </c>
      <c r="N268">
        <v>14</v>
      </c>
      <c r="O268" t="s">
        <v>1975</v>
      </c>
      <c r="P268" t="s">
        <v>1976</v>
      </c>
      <c r="Q268" t="s">
        <v>124</v>
      </c>
      <c r="R268" t="s">
        <v>35</v>
      </c>
      <c r="S268" t="s">
        <v>36</v>
      </c>
      <c r="T268" t="s">
        <v>37</v>
      </c>
    </row>
    <row r="269" spans="1:27" ht="14.5">
      <c r="A269">
        <v>268</v>
      </c>
      <c r="B269" t="s">
        <v>1977</v>
      </c>
      <c r="C269" t="s">
        <v>1978</v>
      </c>
      <c r="D269" t="s">
        <v>1979</v>
      </c>
      <c r="E269" t="s">
        <v>1980</v>
      </c>
      <c r="F269" t="s">
        <v>1981</v>
      </c>
      <c r="G269">
        <v>2024</v>
      </c>
      <c r="H269" t="s">
        <v>1982</v>
      </c>
      <c r="I269" t="s">
        <v>29</v>
      </c>
      <c r="J269" t="s">
        <v>29</v>
      </c>
      <c r="K269" t="s">
        <v>29</v>
      </c>
      <c r="L269">
        <v>988</v>
      </c>
      <c r="M269">
        <v>994</v>
      </c>
      <c r="N269">
        <v>6</v>
      </c>
      <c r="O269" t="s">
        <v>1983</v>
      </c>
      <c r="P269" t="s">
        <v>1984</v>
      </c>
      <c r="Q269" t="s">
        <v>124</v>
      </c>
      <c r="R269" t="s">
        <v>35</v>
      </c>
      <c r="S269" t="s">
        <v>36</v>
      </c>
      <c r="T269" t="s">
        <v>36</v>
      </c>
      <c r="U269" t="s">
        <v>36</v>
      </c>
      <c r="V269" t="s">
        <v>36</v>
      </c>
      <c r="W269" t="s">
        <v>36</v>
      </c>
      <c r="X269" t="s">
        <v>36</v>
      </c>
      <c r="Y269" t="s">
        <v>37</v>
      </c>
    </row>
    <row r="270" spans="1:27" ht="14.5">
      <c r="A270">
        <v>269</v>
      </c>
      <c r="B270" t="s">
        <v>1985</v>
      </c>
      <c r="C270" t="s">
        <v>1986</v>
      </c>
      <c r="E270" t="s">
        <v>1980</v>
      </c>
      <c r="G270">
        <v>2023</v>
      </c>
      <c r="O270" t="s">
        <v>1987</v>
      </c>
      <c r="P270" t="s">
        <v>1988</v>
      </c>
      <c r="Q270" t="s">
        <v>310</v>
      </c>
      <c r="R270" t="s">
        <v>311</v>
      </c>
      <c r="S270" t="s">
        <v>37</v>
      </c>
    </row>
    <row r="271" spans="1:27" ht="14.5">
      <c r="A271">
        <v>270</v>
      </c>
      <c r="B271" t="s">
        <v>1989</v>
      </c>
      <c r="C271" t="s">
        <v>1990</v>
      </c>
      <c r="D271" t="s">
        <v>1991</v>
      </c>
      <c r="E271" t="s">
        <v>1992</v>
      </c>
      <c r="F271" t="s">
        <v>1993</v>
      </c>
      <c r="G271">
        <v>2016</v>
      </c>
      <c r="H271" t="s">
        <v>1994</v>
      </c>
      <c r="I271" t="s">
        <v>165</v>
      </c>
      <c r="J271" t="s">
        <v>29</v>
      </c>
      <c r="K271" t="s">
        <v>29</v>
      </c>
      <c r="L271">
        <v>1307</v>
      </c>
      <c r="M271">
        <v>1323</v>
      </c>
      <c r="N271">
        <v>16</v>
      </c>
      <c r="O271" t="s">
        <v>1995</v>
      </c>
      <c r="P271" t="s">
        <v>1996</v>
      </c>
      <c r="Q271" t="s">
        <v>685</v>
      </c>
      <c r="R271" t="s">
        <v>35</v>
      </c>
      <c r="S271" t="s">
        <v>36</v>
      </c>
      <c r="T271" t="s">
        <v>37</v>
      </c>
    </row>
    <row r="272" spans="1:27" ht="14.5">
      <c r="A272">
        <v>271</v>
      </c>
      <c r="B272" t="s">
        <v>1989</v>
      </c>
      <c r="C272" t="s">
        <v>1990</v>
      </c>
      <c r="D272" t="s">
        <v>1991</v>
      </c>
      <c r="E272" t="s">
        <v>1992</v>
      </c>
      <c r="F272" t="s">
        <v>1997</v>
      </c>
      <c r="G272">
        <v>2017</v>
      </c>
      <c r="H272" t="s">
        <v>1998</v>
      </c>
      <c r="I272" t="s">
        <v>29</v>
      </c>
      <c r="J272" t="s">
        <v>29</v>
      </c>
      <c r="K272" t="s">
        <v>29</v>
      </c>
      <c r="L272">
        <v>857</v>
      </c>
      <c r="M272">
        <v>873</v>
      </c>
      <c r="N272">
        <v>16</v>
      </c>
      <c r="O272" t="s">
        <v>1999</v>
      </c>
      <c r="P272" t="s">
        <v>2000</v>
      </c>
      <c r="Q272" t="s">
        <v>685</v>
      </c>
      <c r="R272" t="s">
        <v>35</v>
      </c>
      <c r="S272" t="s">
        <v>36</v>
      </c>
      <c r="T272" t="s">
        <v>37</v>
      </c>
    </row>
    <row r="273" spans="1:27" ht="14.5">
      <c r="A273">
        <v>272</v>
      </c>
      <c r="B273" t="s">
        <v>2001</v>
      </c>
      <c r="C273" t="s">
        <v>2002</v>
      </c>
      <c r="D273" t="s">
        <v>2003</v>
      </c>
      <c r="E273" t="s">
        <v>2004</v>
      </c>
      <c r="F273" t="s">
        <v>2005</v>
      </c>
      <c r="G273">
        <v>2011</v>
      </c>
      <c r="H273" t="s">
        <v>2006</v>
      </c>
      <c r="I273" t="s">
        <v>29</v>
      </c>
      <c r="J273" t="s">
        <v>29</v>
      </c>
      <c r="K273" t="s">
        <v>29</v>
      </c>
      <c r="L273">
        <v>21</v>
      </c>
      <c r="M273">
        <v>33</v>
      </c>
      <c r="N273">
        <v>12</v>
      </c>
      <c r="O273" t="s">
        <v>2007</v>
      </c>
      <c r="P273" t="s">
        <v>2008</v>
      </c>
      <c r="Q273" t="s">
        <v>685</v>
      </c>
      <c r="R273" t="s">
        <v>35</v>
      </c>
      <c r="S273" t="s">
        <v>36</v>
      </c>
      <c r="T273" t="s">
        <v>37</v>
      </c>
    </row>
    <row r="274" spans="1:27" ht="14.5">
      <c r="A274">
        <v>273</v>
      </c>
      <c r="B274" t="s">
        <v>2009</v>
      </c>
      <c r="C274" t="s">
        <v>2010</v>
      </c>
      <c r="D274" t="s">
        <v>2011</v>
      </c>
      <c r="E274" t="s">
        <v>2012</v>
      </c>
      <c r="F274" t="s">
        <v>2013</v>
      </c>
      <c r="G274">
        <v>2021</v>
      </c>
      <c r="H274" t="s">
        <v>79</v>
      </c>
      <c r="I274" t="s">
        <v>29</v>
      </c>
      <c r="J274" t="s">
        <v>29</v>
      </c>
      <c r="K274" t="s">
        <v>29</v>
      </c>
      <c r="L274">
        <v>440</v>
      </c>
      <c r="M274">
        <v>441</v>
      </c>
      <c r="N274">
        <v>1</v>
      </c>
      <c r="O274" t="s">
        <v>2014</v>
      </c>
      <c r="P274" t="s">
        <v>2015</v>
      </c>
      <c r="Q274" t="s">
        <v>124</v>
      </c>
      <c r="R274" t="s">
        <v>35</v>
      </c>
      <c r="S274" t="s">
        <v>36</v>
      </c>
      <c r="T274" t="s">
        <v>36</v>
      </c>
      <c r="U274" t="s">
        <v>36</v>
      </c>
      <c r="V274" t="s">
        <v>36</v>
      </c>
      <c r="W274" t="s">
        <v>36</v>
      </c>
      <c r="X274" t="s">
        <v>36</v>
      </c>
      <c r="Y274" t="s">
        <v>36</v>
      </c>
      <c r="Z274" t="s">
        <v>37</v>
      </c>
    </row>
    <row r="275" spans="1:27" s="42" customFormat="1" ht="14.5">
      <c r="A275" s="36">
        <v>274</v>
      </c>
      <c r="B275" s="42" t="s">
        <v>2016</v>
      </c>
      <c r="C275" s="42" t="s">
        <v>2017</v>
      </c>
      <c r="D275" s="42" t="s">
        <v>2018</v>
      </c>
      <c r="E275" s="42" t="s">
        <v>2019</v>
      </c>
      <c r="F275" s="42" t="s">
        <v>2020</v>
      </c>
      <c r="G275" s="42">
        <v>2023</v>
      </c>
      <c r="H275" s="42" t="s">
        <v>2021</v>
      </c>
      <c r="I275" s="42" t="s">
        <v>29</v>
      </c>
      <c r="J275" s="42" t="s">
        <v>29</v>
      </c>
      <c r="K275" s="42" t="s">
        <v>29</v>
      </c>
      <c r="O275" s="42" t="s">
        <v>2022</v>
      </c>
      <c r="P275" s="42" t="s">
        <v>2023</v>
      </c>
      <c r="Q275" s="42" t="s">
        <v>124</v>
      </c>
      <c r="R275" s="42" t="s">
        <v>35</v>
      </c>
      <c r="S275" s="42" t="s">
        <v>36</v>
      </c>
      <c r="T275" s="42" t="s">
        <v>36</v>
      </c>
      <c r="U275" s="42" t="s">
        <v>36</v>
      </c>
      <c r="V275" s="42" t="s">
        <v>36</v>
      </c>
      <c r="W275" s="42" t="s">
        <v>36</v>
      </c>
      <c r="X275" s="42" t="s">
        <v>36</v>
      </c>
      <c r="Y275" s="42" t="s">
        <v>36</v>
      </c>
      <c r="Z275" s="42" t="s">
        <v>36</v>
      </c>
      <c r="AA275" s="42" t="s">
        <v>36</v>
      </c>
    </row>
    <row r="276" spans="1:27" ht="14.5">
      <c r="A276">
        <v>275</v>
      </c>
      <c r="B276" t="s">
        <v>2024</v>
      </c>
      <c r="C276" t="s">
        <v>2025</v>
      </c>
      <c r="D276" t="s">
        <v>2026</v>
      </c>
      <c r="E276" t="s">
        <v>2027</v>
      </c>
      <c r="F276" t="s">
        <v>2028</v>
      </c>
      <c r="G276">
        <v>2021</v>
      </c>
      <c r="H276" t="s">
        <v>2029</v>
      </c>
      <c r="I276" t="s">
        <v>2030</v>
      </c>
      <c r="J276" t="s">
        <v>509</v>
      </c>
      <c r="K276" t="s">
        <v>2031</v>
      </c>
      <c r="O276" t="s">
        <v>2032</v>
      </c>
      <c r="P276" s="45" t="s">
        <v>2033</v>
      </c>
      <c r="Q276" t="s">
        <v>2034</v>
      </c>
      <c r="R276" t="s">
        <v>35</v>
      </c>
      <c r="S276" t="s">
        <v>36</v>
      </c>
      <c r="T276" t="s">
        <v>36</v>
      </c>
      <c r="U276" t="s">
        <v>36</v>
      </c>
      <c r="V276" t="s">
        <v>37</v>
      </c>
    </row>
    <row r="277" spans="1:27" ht="14.5">
      <c r="A277">
        <v>276</v>
      </c>
      <c r="B277" s="2" t="s">
        <v>2035</v>
      </c>
      <c r="C277" s="2" t="s">
        <v>2036</v>
      </c>
      <c r="D277" s="2" t="s">
        <v>2037</v>
      </c>
      <c r="E277" s="2" t="s">
        <v>2038</v>
      </c>
      <c r="F277" s="2" t="s">
        <v>2039</v>
      </c>
      <c r="G277" s="2">
        <v>2024</v>
      </c>
      <c r="H277" s="2" t="s">
        <v>2040</v>
      </c>
      <c r="I277" s="2"/>
      <c r="J277" s="2"/>
      <c r="K277" s="2"/>
      <c r="L277" s="2"/>
      <c r="M277" s="2"/>
      <c r="N277" s="2">
        <v>8</v>
      </c>
      <c r="O277" s="2" t="s">
        <v>2041</v>
      </c>
      <c r="P277" s="41" t="s">
        <v>2042</v>
      </c>
      <c r="Q277" s="2" t="s">
        <v>124</v>
      </c>
      <c r="R277" s="2" t="s">
        <v>35</v>
      </c>
      <c r="S277" s="2" t="s">
        <v>36</v>
      </c>
      <c r="T277" s="2" t="s">
        <v>36</v>
      </c>
      <c r="U277" s="2" t="s">
        <v>36</v>
      </c>
      <c r="V277" s="2" t="s">
        <v>36</v>
      </c>
      <c r="W277" s="2" t="s">
        <v>36</v>
      </c>
      <c r="X277" s="2" t="s">
        <v>36</v>
      </c>
      <c r="Y277" s="2" t="s">
        <v>36</v>
      </c>
      <c r="Z277" s="2" t="s">
        <v>37</v>
      </c>
      <c r="AA277" s="2"/>
    </row>
    <row r="278" spans="1:27" s="43" customFormat="1" ht="14.5">
      <c r="A278" s="36">
        <v>277</v>
      </c>
      <c r="B278" s="43" t="s">
        <v>2043</v>
      </c>
      <c r="C278" s="43" t="s">
        <v>2044</v>
      </c>
      <c r="D278" s="43" t="s">
        <v>2045</v>
      </c>
      <c r="E278" s="43" t="s">
        <v>2046</v>
      </c>
      <c r="F278" s="43" t="s">
        <v>2047</v>
      </c>
      <c r="G278" s="43">
        <v>2025</v>
      </c>
      <c r="H278" s="43" t="s">
        <v>2048</v>
      </c>
      <c r="I278" s="43" t="s">
        <v>2049</v>
      </c>
      <c r="L278" s="43">
        <v>307</v>
      </c>
      <c r="M278" s="43">
        <v>316</v>
      </c>
      <c r="N278" s="43">
        <v>9</v>
      </c>
      <c r="O278" s="43" t="s">
        <v>2050</v>
      </c>
      <c r="P278" s="44" t="s">
        <v>2051</v>
      </c>
      <c r="Q278" s="43" t="s">
        <v>124</v>
      </c>
      <c r="R278" s="43" t="s">
        <v>35</v>
      </c>
      <c r="S278" s="43" t="s">
        <v>36</v>
      </c>
      <c r="T278" s="43" t="s">
        <v>36</v>
      </c>
      <c r="U278" s="43" t="s">
        <v>36</v>
      </c>
      <c r="V278" s="43" t="s">
        <v>36</v>
      </c>
      <c r="W278" s="43" t="s">
        <v>36</v>
      </c>
      <c r="X278" s="43" t="s">
        <v>36</v>
      </c>
      <c r="Y278" s="43" t="s">
        <v>36</v>
      </c>
      <c r="Z278" s="43" t="s">
        <v>36</v>
      </c>
      <c r="AA278" s="43" t="s">
        <v>36</v>
      </c>
    </row>
    <row r="279" spans="1:27" ht="14.5">
      <c r="A279">
        <v>278</v>
      </c>
      <c r="B279" s="2" t="s">
        <v>2052</v>
      </c>
      <c r="C279" s="2" t="s">
        <v>2053</v>
      </c>
      <c r="D279" s="2" t="s">
        <v>2054</v>
      </c>
      <c r="E279" s="2" t="s">
        <v>2915</v>
      </c>
      <c r="F279" s="2" t="s">
        <v>2055</v>
      </c>
      <c r="G279" s="2">
        <v>2025</v>
      </c>
      <c r="H279" s="2" t="s">
        <v>151</v>
      </c>
      <c r="I279" s="2">
        <v>32</v>
      </c>
      <c r="J279" s="2">
        <v>1</v>
      </c>
      <c r="K279" s="2">
        <v>5</v>
      </c>
      <c r="L279" s="2"/>
      <c r="M279" s="2"/>
      <c r="N279" s="2">
        <v>34</v>
      </c>
      <c r="O279" s="2" t="s">
        <v>2056</v>
      </c>
      <c r="P279" s="41" t="s">
        <v>2057</v>
      </c>
      <c r="Q279" s="2" t="s">
        <v>157</v>
      </c>
      <c r="R279" s="2" t="s">
        <v>35</v>
      </c>
      <c r="S279" s="2" t="s">
        <v>36</v>
      </c>
      <c r="T279" s="2" t="s">
        <v>36</v>
      </c>
      <c r="U279" s="2" t="s">
        <v>36</v>
      </c>
      <c r="V279" s="2" t="s">
        <v>36</v>
      </c>
      <c r="W279" s="2" t="s">
        <v>36</v>
      </c>
      <c r="X279" s="2" t="s">
        <v>36</v>
      </c>
      <c r="Y279" s="2" t="s">
        <v>37</v>
      </c>
      <c r="Z279" s="2"/>
      <c r="AA279" s="2"/>
    </row>
    <row r="280" spans="1:27" ht="14.5">
      <c r="A280">
        <v>279</v>
      </c>
      <c r="B280" s="2"/>
      <c r="C280" s="2"/>
      <c r="D280" s="2"/>
      <c r="E280" s="2" t="s">
        <v>2058</v>
      </c>
      <c r="F280" s="2" t="s">
        <v>2059</v>
      </c>
      <c r="G280" s="2">
        <v>2024</v>
      </c>
      <c r="H280" s="2" t="s">
        <v>112</v>
      </c>
      <c r="I280" s="2" t="s">
        <v>2060</v>
      </c>
      <c r="J280" s="2"/>
      <c r="K280" s="2"/>
      <c r="L280" s="2"/>
      <c r="M280" s="2"/>
      <c r="N280" s="2">
        <v>304</v>
      </c>
      <c r="O280" s="2"/>
      <c r="P280" s="2" t="s">
        <v>2061</v>
      </c>
      <c r="Q280" s="2" t="s">
        <v>34</v>
      </c>
      <c r="R280" s="2" t="s">
        <v>35</v>
      </c>
      <c r="S280" s="2" t="s">
        <v>36</v>
      </c>
      <c r="T280" s="2" t="s">
        <v>36</v>
      </c>
      <c r="U280" s="2" t="s">
        <v>36</v>
      </c>
      <c r="V280" s="2" t="s">
        <v>37</v>
      </c>
      <c r="W280" s="2"/>
      <c r="X280" s="2"/>
      <c r="Y280" s="2"/>
      <c r="Z280" s="2"/>
      <c r="AA280" s="2"/>
    </row>
    <row r="281" spans="1:27" ht="14.5">
      <c r="A281">
        <v>280</v>
      </c>
      <c r="B281" s="2" t="s">
        <v>2062</v>
      </c>
      <c r="C281" s="2" t="s">
        <v>2063</v>
      </c>
      <c r="D281" s="2" t="s">
        <v>2064</v>
      </c>
      <c r="E281" s="2" t="s">
        <v>2065</v>
      </c>
      <c r="F281" s="2" t="s">
        <v>2066</v>
      </c>
      <c r="G281" s="2">
        <v>2024</v>
      </c>
      <c r="H281" s="2" t="s">
        <v>2067</v>
      </c>
      <c r="I281" s="2"/>
      <c r="J281" s="2"/>
      <c r="K281" s="2"/>
      <c r="L281" s="2"/>
      <c r="M281" s="2"/>
      <c r="N281" s="2">
        <v>5</v>
      </c>
      <c r="O281" s="2" t="s">
        <v>2068</v>
      </c>
      <c r="P281" s="41" t="s">
        <v>2069</v>
      </c>
      <c r="Q281" s="2" t="s">
        <v>124</v>
      </c>
      <c r="R281" s="2" t="s">
        <v>35</v>
      </c>
      <c r="S281" s="2" t="s">
        <v>36</v>
      </c>
      <c r="T281" s="2" t="s">
        <v>36</v>
      </c>
      <c r="U281" s="2" t="s">
        <v>36</v>
      </c>
      <c r="V281" s="2" t="s">
        <v>36</v>
      </c>
      <c r="W281" s="2" t="s">
        <v>36</v>
      </c>
      <c r="X281" s="2" t="s">
        <v>36</v>
      </c>
      <c r="Y281" s="2" t="s">
        <v>36</v>
      </c>
      <c r="Z281" s="2" t="s">
        <v>37</v>
      </c>
      <c r="AA281" s="2"/>
    </row>
    <row r="282" spans="1:27" ht="14.5">
      <c r="A282">
        <v>281</v>
      </c>
      <c r="B282" s="2" t="s">
        <v>2070</v>
      </c>
      <c r="C282" s="2" t="s">
        <v>2071</v>
      </c>
      <c r="D282" s="2" t="s">
        <v>2072</v>
      </c>
      <c r="E282" s="2" t="s">
        <v>2073</v>
      </c>
      <c r="F282" s="2" t="s">
        <v>2074</v>
      </c>
      <c r="G282" s="2">
        <v>2024</v>
      </c>
      <c r="H282" s="2" t="s">
        <v>265</v>
      </c>
      <c r="I282" s="2" t="s">
        <v>2075</v>
      </c>
      <c r="J282" s="2"/>
      <c r="K282" s="2"/>
      <c r="L282" s="2">
        <v>251</v>
      </c>
      <c r="M282" s="2">
        <v>260</v>
      </c>
      <c r="N282" s="2">
        <v>9</v>
      </c>
      <c r="O282" s="2" t="s">
        <v>2076</v>
      </c>
      <c r="P282" s="2" t="s">
        <v>2077</v>
      </c>
      <c r="Q282" s="2" t="s">
        <v>124</v>
      </c>
      <c r="R282" s="2" t="s">
        <v>35</v>
      </c>
      <c r="S282" s="2" t="s">
        <v>36</v>
      </c>
      <c r="T282" s="2" t="s">
        <v>36</v>
      </c>
      <c r="U282" s="2" t="s">
        <v>36</v>
      </c>
      <c r="V282" s="2" t="s">
        <v>37</v>
      </c>
      <c r="W282" s="2"/>
      <c r="X282" s="2"/>
      <c r="Y282" s="2"/>
      <c r="Z282" s="2"/>
      <c r="AA282" s="2"/>
    </row>
    <row r="283" spans="1:27" ht="14.5">
      <c r="A283">
        <v>282</v>
      </c>
      <c r="B283" s="2"/>
      <c r="C283" s="2"/>
      <c r="D283" s="2"/>
      <c r="E283" s="2" t="s">
        <v>2078</v>
      </c>
      <c r="F283" s="2" t="s">
        <v>2079</v>
      </c>
      <c r="G283" s="2">
        <v>2024</v>
      </c>
      <c r="H283" s="2" t="s">
        <v>79</v>
      </c>
      <c r="I283" s="2"/>
      <c r="J283" s="2"/>
      <c r="K283" s="2"/>
      <c r="L283" s="2"/>
      <c r="M283" s="2"/>
      <c r="N283" s="2">
        <v>530</v>
      </c>
      <c r="O283" s="2"/>
      <c r="P283" s="2" t="s">
        <v>2080</v>
      </c>
      <c r="Q283" s="2" t="s">
        <v>34</v>
      </c>
      <c r="R283" s="2" t="s">
        <v>35</v>
      </c>
      <c r="S283" s="2" t="s">
        <v>36</v>
      </c>
      <c r="T283" s="2" t="s">
        <v>36</v>
      </c>
      <c r="U283" s="2" t="s">
        <v>36</v>
      </c>
      <c r="V283" s="2" t="s">
        <v>37</v>
      </c>
      <c r="W283" s="2"/>
      <c r="X283" s="2"/>
      <c r="Y283" s="2"/>
      <c r="Z283" s="2"/>
      <c r="AA283" s="2"/>
    </row>
    <row r="284" spans="1:27" ht="14.5">
      <c r="A284">
        <v>283</v>
      </c>
      <c r="B284" s="2"/>
      <c r="C284" s="2"/>
      <c r="D284" s="2"/>
      <c r="E284" s="2" t="s">
        <v>2081</v>
      </c>
      <c r="F284" s="2" t="s">
        <v>2082</v>
      </c>
      <c r="G284" s="2">
        <v>2024</v>
      </c>
      <c r="H284" s="2" t="s">
        <v>31</v>
      </c>
      <c r="I284" s="2" t="s">
        <v>2083</v>
      </c>
      <c r="J284" s="2"/>
      <c r="K284" s="2"/>
      <c r="L284" s="2"/>
      <c r="M284" s="2"/>
      <c r="N284" s="2">
        <v>460</v>
      </c>
      <c r="O284" s="2"/>
      <c r="P284" s="2" t="s">
        <v>2084</v>
      </c>
      <c r="Q284" s="2" t="s">
        <v>34</v>
      </c>
      <c r="R284" s="2" t="s">
        <v>35</v>
      </c>
      <c r="S284" s="2" t="s">
        <v>36</v>
      </c>
      <c r="T284" s="2" t="s">
        <v>36</v>
      </c>
      <c r="U284" s="2" t="s">
        <v>36</v>
      </c>
      <c r="V284" s="2" t="s">
        <v>37</v>
      </c>
      <c r="W284" s="2"/>
      <c r="X284" s="2"/>
      <c r="Y284" s="2"/>
      <c r="Z284" s="2"/>
      <c r="AA284" s="2"/>
    </row>
    <row r="285" spans="1:27" ht="14.5">
      <c r="A285">
        <v>284</v>
      </c>
      <c r="B285" s="2"/>
      <c r="C285" s="2"/>
      <c r="D285" s="2"/>
      <c r="E285" s="2" t="s">
        <v>2085</v>
      </c>
      <c r="F285" s="2" t="s">
        <v>2086</v>
      </c>
      <c r="G285" s="2">
        <v>2024</v>
      </c>
      <c r="H285" s="2" t="s">
        <v>31</v>
      </c>
      <c r="I285" s="2" t="s">
        <v>2087</v>
      </c>
      <c r="J285" s="2"/>
      <c r="K285" s="2"/>
      <c r="L285" s="2"/>
      <c r="M285" s="2"/>
      <c r="N285" s="2">
        <v>830</v>
      </c>
      <c r="O285" s="2"/>
      <c r="P285" s="2" t="s">
        <v>2088</v>
      </c>
      <c r="Q285" s="2" t="s">
        <v>34</v>
      </c>
      <c r="R285" s="2" t="s">
        <v>35</v>
      </c>
      <c r="S285" s="2" t="s">
        <v>36</v>
      </c>
      <c r="T285" s="2" t="s">
        <v>36</v>
      </c>
      <c r="U285" s="2" t="s">
        <v>36</v>
      </c>
      <c r="V285" s="2" t="s">
        <v>37</v>
      </c>
      <c r="W285" s="2"/>
      <c r="X285" s="2"/>
      <c r="Y285" s="2"/>
      <c r="Z285" s="2"/>
      <c r="AA285" s="2"/>
    </row>
    <row r="286" spans="1:27" ht="14.5">
      <c r="A286">
        <v>285</v>
      </c>
      <c r="B286" s="2"/>
      <c r="C286" s="2"/>
      <c r="D286" s="2"/>
      <c r="E286" s="2" t="s">
        <v>2089</v>
      </c>
      <c r="F286" s="2" t="s">
        <v>2090</v>
      </c>
      <c r="G286" s="2">
        <v>2024</v>
      </c>
      <c r="H286" s="2" t="s">
        <v>112</v>
      </c>
      <c r="I286" s="2" t="s">
        <v>2091</v>
      </c>
      <c r="J286" s="2"/>
      <c r="K286" s="2"/>
      <c r="L286" s="2"/>
      <c r="M286" s="2"/>
      <c r="N286" s="2">
        <v>257</v>
      </c>
      <c r="O286" s="2"/>
      <c r="P286" s="2" t="s">
        <v>2092</v>
      </c>
      <c r="Q286" s="2" t="s">
        <v>34</v>
      </c>
      <c r="R286" s="2" t="s">
        <v>35</v>
      </c>
      <c r="S286" s="2" t="s">
        <v>36</v>
      </c>
      <c r="T286" s="2" t="s">
        <v>36</v>
      </c>
      <c r="U286" s="2" t="s">
        <v>36</v>
      </c>
      <c r="V286" s="2" t="s">
        <v>37</v>
      </c>
      <c r="W286" s="2"/>
      <c r="X286" s="2"/>
      <c r="Y286" s="2"/>
      <c r="Z286" s="2"/>
      <c r="AA286" s="2"/>
    </row>
    <row r="287" spans="1:27" ht="14.5">
      <c r="A287">
        <v>286</v>
      </c>
      <c r="B287" s="2" t="s">
        <v>2093</v>
      </c>
      <c r="C287" s="2" t="s">
        <v>2094</v>
      </c>
      <c r="D287" s="2" t="s">
        <v>2095</v>
      </c>
      <c r="E287" s="2" t="s">
        <v>2096</v>
      </c>
      <c r="F287" s="2" t="s">
        <v>2097</v>
      </c>
      <c r="G287" s="2">
        <v>2024</v>
      </c>
      <c r="H287" s="2" t="s">
        <v>2098</v>
      </c>
      <c r="I287" s="2"/>
      <c r="J287" s="2"/>
      <c r="K287" s="2"/>
      <c r="L287" s="2">
        <v>243</v>
      </c>
      <c r="M287" s="2">
        <v>251</v>
      </c>
      <c r="N287" s="2">
        <v>8</v>
      </c>
      <c r="O287" s="2"/>
      <c r="P287" s="2" t="s">
        <v>2099</v>
      </c>
      <c r="Q287" s="2" t="s">
        <v>124</v>
      </c>
      <c r="R287" s="2" t="s">
        <v>35</v>
      </c>
      <c r="S287" s="2" t="s">
        <v>36</v>
      </c>
      <c r="T287" s="2" t="s">
        <v>36</v>
      </c>
      <c r="U287" s="2" t="s">
        <v>36</v>
      </c>
      <c r="V287" s="2" t="s">
        <v>36</v>
      </c>
      <c r="W287" s="2" t="s">
        <v>36</v>
      </c>
      <c r="X287" s="2" t="s">
        <v>36</v>
      </c>
      <c r="Y287" s="2" t="s">
        <v>36</v>
      </c>
      <c r="Z287" s="2" t="s">
        <v>37</v>
      </c>
      <c r="AA287" s="2"/>
    </row>
    <row r="288" spans="1:27" ht="14.5">
      <c r="A288">
        <v>287</v>
      </c>
      <c r="B288" s="2" t="s">
        <v>2100</v>
      </c>
      <c r="C288" s="2" t="s">
        <v>2101</v>
      </c>
      <c r="D288" s="2" t="s">
        <v>2102</v>
      </c>
      <c r="E288" s="2" t="s">
        <v>2103</v>
      </c>
      <c r="F288" s="2" t="s">
        <v>2104</v>
      </c>
      <c r="G288" s="2">
        <v>2024</v>
      </c>
      <c r="H288" s="2" t="s">
        <v>1952</v>
      </c>
      <c r="I288" s="2" t="s">
        <v>2105</v>
      </c>
      <c r="J288" s="2"/>
      <c r="K288" s="2"/>
      <c r="L288" s="2">
        <v>47</v>
      </c>
      <c r="M288" s="2">
        <v>48</v>
      </c>
      <c r="N288" s="2">
        <v>1</v>
      </c>
      <c r="O288" s="2" t="s">
        <v>2106</v>
      </c>
      <c r="P288" s="2" t="s">
        <v>2107</v>
      </c>
      <c r="Q288" s="2" t="s">
        <v>124</v>
      </c>
      <c r="R288" s="2" t="s">
        <v>35</v>
      </c>
      <c r="S288" s="2" t="s">
        <v>36</v>
      </c>
      <c r="T288" s="2" t="s">
        <v>36</v>
      </c>
      <c r="U288" s="2" t="s">
        <v>36</v>
      </c>
      <c r="V288" s="2" t="s">
        <v>36</v>
      </c>
      <c r="W288" s="2" t="s">
        <v>36</v>
      </c>
      <c r="X288" s="2" t="s">
        <v>37</v>
      </c>
      <c r="Y288" s="2"/>
      <c r="Z288" s="2"/>
      <c r="AA288" s="2"/>
    </row>
    <row r="289" spans="1:27" ht="14.5">
      <c r="A289">
        <v>288</v>
      </c>
      <c r="B289" s="2" t="s">
        <v>2108</v>
      </c>
      <c r="C289" s="2" t="s">
        <v>2109</v>
      </c>
      <c r="D289" s="2" t="s">
        <v>2110</v>
      </c>
      <c r="E289" s="2" t="s">
        <v>2916</v>
      </c>
      <c r="F289" s="2" t="s">
        <v>2917</v>
      </c>
      <c r="G289" s="2">
        <v>2024</v>
      </c>
      <c r="H289" s="2" t="s">
        <v>31</v>
      </c>
      <c r="I289" s="2" t="s">
        <v>2083</v>
      </c>
      <c r="J289" s="2"/>
      <c r="K289" s="2"/>
      <c r="L289" s="2">
        <v>237</v>
      </c>
      <c r="M289" s="2">
        <v>252</v>
      </c>
      <c r="N289" s="2">
        <v>15</v>
      </c>
      <c r="O289" s="2" t="s">
        <v>2111</v>
      </c>
      <c r="P289" s="2" t="s">
        <v>2112</v>
      </c>
      <c r="Q289" s="2" t="s">
        <v>124</v>
      </c>
      <c r="R289" s="2" t="s">
        <v>35</v>
      </c>
      <c r="S289" s="2" t="s">
        <v>36</v>
      </c>
      <c r="T289" s="2" t="s">
        <v>36</v>
      </c>
      <c r="U289" s="2" t="s">
        <v>36</v>
      </c>
      <c r="V289" s="2" t="s">
        <v>36</v>
      </c>
      <c r="W289" s="2" t="s">
        <v>36</v>
      </c>
      <c r="X289" s="2" t="s">
        <v>36</v>
      </c>
      <c r="Y289" s="2" t="s">
        <v>36</v>
      </c>
      <c r="Z289" s="2" t="s">
        <v>37</v>
      </c>
      <c r="AA289" s="2"/>
    </row>
    <row r="290" spans="1:27" ht="14.5">
      <c r="A290">
        <v>289</v>
      </c>
      <c r="B290" s="2" t="s">
        <v>2113</v>
      </c>
      <c r="C290" s="2" t="s">
        <v>2114</v>
      </c>
      <c r="D290" s="2" t="s">
        <v>2115</v>
      </c>
      <c r="E290" s="2" t="s">
        <v>2116</v>
      </c>
      <c r="F290" s="2" t="s">
        <v>2918</v>
      </c>
      <c r="G290" s="2">
        <v>2025</v>
      </c>
      <c r="H290" s="2" t="s">
        <v>2048</v>
      </c>
      <c r="I290" s="2" t="s">
        <v>2117</v>
      </c>
      <c r="J290" s="2"/>
      <c r="K290" s="2"/>
      <c r="L290" s="2">
        <v>92</v>
      </c>
      <c r="M290" s="2">
        <v>101</v>
      </c>
      <c r="N290" s="2">
        <v>9</v>
      </c>
      <c r="O290" s="2" t="s">
        <v>2118</v>
      </c>
      <c r="P290" s="2" t="s">
        <v>2119</v>
      </c>
      <c r="Q290" s="2" t="s">
        <v>124</v>
      </c>
      <c r="R290" s="2" t="s">
        <v>35</v>
      </c>
      <c r="S290" s="2" t="s">
        <v>36</v>
      </c>
      <c r="T290" s="2" t="s">
        <v>36</v>
      </c>
      <c r="U290" s="2" t="s">
        <v>36</v>
      </c>
      <c r="V290" s="2" t="s">
        <v>36</v>
      </c>
      <c r="W290" s="2" t="s">
        <v>36</v>
      </c>
      <c r="X290" s="2" t="s">
        <v>36</v>
      </c>
      <c r="Y290" s="2" t="s">
        <v>36</v>
      </c>
      <c r="Z290" s="2" t="s">
        <v>37</v>
      </c>
      <c r="AA290" s="2"/>
    </row>
    <row r="291" spans="1:27" ht="14.5">
      <c r="A291">
        <v>290</v>
      </c>
      <c r="B291" s="2"/>
      <c r="C291" s="2"/>
      <c r="D291" s="2"/>
      <c r="E291" s="2" t="s">
        <v>2120</v>
      </c>
      <c r="F291" s="2" t="s">
        <v>2121</v>
      </c>
      <c r="G291" s="2">
        <v>2024</v>
      </c>
      <c r="H291" s="2" t="s">
        <v>112</v>
      </c>
      <c r="I291" s="2" t="s">
        <v>2122</v>
      </c>
      <c r="J291" s="2"/>
      <c r="K291" s="2"/>
      <c r="L291" s="2"/>
      <c r="M291" s="2"/>
      <c r="N291" s="2">
        <v>195</v>
      </c>
      <c r="O291" s="2"/>
      <c r="P291" s="2" t="s">
        <v>2123</v>
      </c>
      <c r="Q291" s="2" t="s">
        <v>34</v>
      </c>
      <c r="R291" s="2" t="s">
        <v>35</v>
      </c>
      <c r="S291" s="2" t="s">
        <v>36</v>
      </c>
      <c r="T291" s="2" t="s">
        <v>36</v>
      </c>
      <c r="U291" s="2" t="s">
        <v>36</v>
      </c>
      <c r="V291" s="2" t="s">
        <v>37</v>
      </c>
      <c r="W291" s="2"/>
      <c r="X291" s="2"/>
      <c r="Y291" s="2"/>
      <c r="Z291" s="2"/>
      <c r="AA291" s="2"/>
    </row>
    <row r="292" spans="1:27" ht="14.5">
      <c r="A292">
        <v>291</v>
      </c>
      <c r="B292" s="2" t="s">
        <v>2124</v>
      </c>
      <c r="C292" s="2" t="s">
        <v>2125</v>
      </c>
      <c r="D292" s="2" t="s">
        <v>2126</v>
      </c>
      <c r="E292" s="2" t="s">
        <v>2127</v>
      </c>
      <c r="F292" s="2" t="s">
        <v>2128</v>
      </c>
      <c r="G292" s="2">
        <v>2024</v>
      </c>
      <c r="H292" s="2" t="s">
        <v>79</v>
      </c>
      <c r="I292" s="2"/>
      <c r="J292" s="2"/>
      <c r="K292" s="2"/>
      <c r="L292" s="2">
        <v>484</v>
      </c>
      <c r="M292" s="2">
        <v>487</v>
      </c>
      <c r="N292" s="2">
        <v>2</v>
      </c>
      <c r="O292" s="2" t="s">
        <v>2129</v>
      </c>
      <c r="P292" s="41" t="s">
        <v>2130</v>
      </c>
      <c r="Q292" s="2" t="s">
        <v>124</v>
      </c>
      <c r="R292" s="2" t="s">
        <v>35</v>
      </c>
      <c r="S292" s="2" t="s">
        <v>36</v>
      </c>
      <c r="T292" s="2" t="s">
        <v>36</v>
      </c>
      <c r="U292" s="2" t="s">
        <v>36</v>
      </c>
      <c r="V292" s="2" t="s">
        <v>36</v>
      </c>
      <c r="W292" s="2" t="s">
        <v>36</v>
      </c>
      <c r="X292" s="2" t="s">
        <v>37</v>
      </c>
      <c r="Y292" s="2"/>
      <c r="Z292" s="2"/>
      <c r="AA292" s="2"/>
    </row>
    <row r="293" spans="1:27" ht="14.5">
      <c r="A293">
        <v>292</v>
      </c>
      <c r="B293" s="2" t="s">
        <v>2131</v>
      </c>
      <c r="C293" s="2" t="s">
        <v>2132</v>
      </c>
      <c r="D293" s="2" t="s">
        <v>2133</v>
      </c>
      <c r="E293" s="2" t="s">
        <v>2919</v>
      </c>
      <c r="F293" s="2" t="s">
        <v>2134</v>
      </c>
      <c r="G293" s="2">
        <v>2024</v>
      </c>
      <c r="H293" s="2" t="s">
        <v>2135</v>
      </c>
      <c r="I293" s="2"/>
      <c r="J293" s="2">
        <v>2024</v>
      </c>
      <c r="K293" s="2"/>
      <c r="L293" s="2">
        <v>597</v>
      </c>
      <c r="M293" s="2">
        <v>607</v>
      </c>
      <c r="N293" s="2">
        <v>10</v>
      </c>
      <c r="O293" s="2" t="s">
        <v>2136</v>
      </c>
      <c r="P293" s="2" t="s">
        <v>2137</v>
      </c>
      <c r="Q293" s="2" t="s">
        <v>124</v>
      </c>
      <c r="R293" s="2" t="s">
        <v>35</v>
      </c>
      <c r="S293" s="2" t="s">
        <v>36</v>
      </c>
      <c r="T293" s="2" t="s">
        <v>36</v>
      </c>
      <c r="U293" s="2" t="s">
        <v>36</v>
      </c>
      <c r="V293" s="2" t="s">
        <v>36</v>
      </c>
      <c r="W293" s="2" t="s">
        <v>36</v>
      </c>
      <c r="X293" s="2" t="s">
        <v>36</v>
      </c>
      <c r="Y293" s="2" t="s">
        <v>37</v>
      </c>
      <c r="Z293" s="2"/>
      <c r="AA293" s="2"/>
    </row>
    <row r="294" spans="1:27" ht="14.5">
      <c r="A294">
        <v>293</v>
      </c>
      <c r="B294" s="2" t="s">
        <v>2138</v>
      </c>
      <c r="C294" s="2" t="s">
        <v>2139</v>
      </c>
      <c r="D294" s="2">
        <v>57188979574</v>
      </c>
      <c r="E294" s="2" t="s">
        <v>2140</v>
      </c>
      <c r="F294" s="2" t="s">
        <v>2920</v>
      </c>
      <c r="G294" s="2">
        <v>2024</v>
      </c>
      <c r="H294" s="2" t="s">
        <v>79</v>
      </c>
      <c r="I294" s="2"/>
      <c r="J294" s="2"/>
      <c r="K294" s="2"/>
      <c r="L294" s="2">
        <v>416</v>
      </c>
      <c r="M294" s="2">
        <v>422</v>
      </c>
      <c r="N294" s="2">
        <v>6</v>
      </c>
      <c r="O294" s="2" t="s">
        <v>2141</v>
      </c>
      <c r="P294" s="2" t="s">
        <v>2142</v>
      </c>
      <c r="Q294" s="2" t="s">
        <v>124</v>
      </c>
      <c r="R294" s="2" t="s">
        <v>35</v>
      </c>
      <c r="S294" s="2" t="s">
        <v>36</v>
      </c>
      <c r="T294" s="2" t="s">
        <v>36</v>
      </c>
      <c r="U294" s="2" t="s">
        <v>36</v>
      </c>
      <c r="V294" s="2" t="s">
        <v>36</v>
      </c>
      <c r="W294" s="2" t="s">
        <v>36</v>
      </c>
      <c r="X294" s="2" t="s">
        <v>36</v>
      </c>
      <c r="Y294" s="2" t="s">
        <v>36</v>
      </c>
      <c r="Z294" s="2" t="s">
        <v>37</v>
      </c>
      <c r="AA294" s="2"/>
    </row>
    <row r="295" spans="1:27" ht="14.5">
      <c r="A295">
        <v>294</v>
      </c>
      <c r="B295" s="2" t="s">
        <v>2143</v>
      </c>
      <c r="C295" s="2" t="s">
        <v>2144</v>
      </c>
      <c r="D295" s="2" t="s">
        <v>2145</v>
      </c>
      <c r="E295" s="2" t="s">
        <v>2146</v>
      </c>
      <c r="F295" s="2" t="s">
        <v>2921</v>
      </c>
      <c r="G295" s="2">
        <v>2024</v>
      </c>
      <c r="H295" s="2" t="s">
        <v>2147</v>
      </c>
      <c r="I295" s="2"/>
      <c r="J295" s="2"/>
      <c r="K295" s="2"/>
      <c r="L295" s="2">
        <v>68</v>
      </c>
      <c r="M295" s="2">
        <v>71</v>
      </c>
      <c r="N295" s="2">
        <v>3</v>
      </c>
      <c r="O295" s="2" t="s">
        <v>2148</v>
      </c>
      <c r="P295" s="2" t="s">
        <v>2149</v>
      </c>
      <c r="Q295" s="2" t="s">
        <v>124</v>
      </c>
      <c r="R295" s="2" t="s">
        <v>35</v>
      </c>
      <c r="S295" s="2" t="s">
        <v>36</v>
      </c>
      <c r="T295" s="2" t="s">
        <v>36</v>
      </c>
      <c r="U295" s="2" t="s">
        <v>36</v>
      </c>
      <c r="V295" s="2" t="s">
        <v>36</v>
      </c>
      <c r="W295" s="2" t="s">
        <v>36</v>
      </c>
      <c r="X295" s="2" t="s">
        <v>36</v>
      </c>
      <c r="Y295" s="2" t="s">
        <v>36</v>
      </c>
      <c r="Z295" s="2" t="s">
        <v>37</v>
      </c>
      <c r="AA295" s="2"/>
    </row>
    <row r="296" spans="1:27" ht="14.5">
      <c r="A296">
        <v>295</v>
      </c>
      <c r="B296" s="2" t="s">
        <v>2150</v>
      </c>
      <c r="C296" s="2" t="s">
        <v>2151</v>
      </c>
      <c r="D296" s="2" t="s">
        <v>2152</v>
      </c>
      <c r="E296" s="2" t="s">
        <v>2153</v>
      </c>
      <c r="F296" s="2" t="s">
        <v>2922</v>
      </c>
      <c r="G296" s="2">
        <v>2024</v>
      </c>
      <c r="H296" s="2" t="s">
        <v>2147</v>
      </c>
      <c r="I296" s="2"/>
      <c r="J296" s="2"/>
      <c r="K296" s="2"/>
      <c r="L296" s="2">
        <v>3</v>
      </c>
      <c r="M296" s="2">
        <v>11</v>
      </c>
      <c r="N296" s="2">
        <v>8</v>
      </c>
      <c r="O296" s="2" t="s">
        <v>2154</v>
      </c>
      <c r="P296" s="2" t="s">
        <v>2155</v>
      </c>
      <c r="Q296" s="2" t="s">
        <v>124</v>
      </c>
      <c r="R296" s="2" t="s">
        <v>35</v>
      </c>
      <c r="S296" s="2" t="s">
        <v>36</v>
      </c>
      <c r="T296" s="2" t="s">
        <v>36</v>
      </c>
      <c r="U296" s="2" t="s">
        <v>36</v>
      </c>
      <c r="V296" s="2" t="s">
        <v>36</v>
      </c>
      <c r="W296" s="2" t="s">
        <v>36</v>
      </c>
      <c r="X296" s="2" t="s">
        <v>36</v>
      </c>
      <c r="Y296" s="2" t="s">
        <v>36</v>
      </c>
      <c r="Z296" s="2" t="s">
        <v>37</v>
      </c>
      <c r="AA296" s="2"/>
    </row>
    <row r="297" spans="1:27" ht="14.5">
      <c r="A297">
        <v>296</v>
      </c>
      <c r="B297" s="2" t="s">
        <v>2156</v>
      </c>
      <c r="C297" s="2" t="s">
        <v>2157</v>
      </c>
      <c r="D297" s="2" t="s">
        <v>2158</v>
      </c>
      <c r="E297" s="2" t="s">
        <v>2923</v>
      </c>
      <c r="F297" s="2" t="s">
        <v>2924</v>
      </c>
      <c r="G297" s="2">
        <v>2024</v>
      </c>
      <c r="H297" s="2" t="s">
        <v>256</v>
      </c>
      <c r="I297" s="2"/>
      <c r="J297" s="2"/>
      <c r="K297" s="2"/>
      <c r="L297" s="2">
        <v>393</v>
      </c>
      <c r="M297" s="2">
        <v>399</v>
      </c>
      <c r="N297" s="2">
        <v>6</v>
      </c>
      <c r="O297" s="2" t="s">
        <v>2159</v>
      </c>
      <c r="P297" s="2" t="s">
        <v>2160</v>
      </c>
      <c r="Q297" s="2" t="s">
        <v>124</v>
      </c>
      <c r="R297" s="2" t="s">
        <v>35</v>
      </c>
      <c r="S297" s="2" t="s">
        <v>36</v>
      </c>
      <c r="T297" s="2" t="s">
        <v>36</v>
      </c>
      <c r="U297" s="2" t="s">
        <v>36</v>
      </c>
      <c r="V297" s="2" t="s">
        <v>36</v>
      </c>
      <c r="W297" s="2" t="s">
        <v>36</v>
      </c>
      <c r="X297" s="2" t="s">
        <v>36</v>
      </c>
      <c r="Y297" s="2" t="s">
        <v>37</v>
      </c>
      <c r="Z297" s="2"/>
      <c r="AA297" s="2"/>
    </row>
    <row r="298" spans="1:27" s="43" customFormat="1" ht="14.5">
      <c r="A298" s="36">
        <v>297</v>
      </c>
      <c r="B298" s="43" t="s">
        <v>2161</v>
      </c>
      <c r="C298" s="43" t="s">
        <v>2162</v>
      </c>
      <c r="D298" s="43" t="s">
        <v>2163</v>
      </c>
      <c r="E298" s="43" t="s">
        <v>2164</v>
      </c>
      <c r="F298" s="43" t="s">
        <v>2498</v>
      </c>
      <c r="G298" s="43">
        <v>2025</v>
      </c>
      <c r="H298" s="43" t="s">
        <v>525</v>
      </c>
      <c r="N298" s="43">
        <v>18</v>
      </c>
      <c r="O298" s="43" t="s">
        <v>2166</v>
      </c>
      <c r="P298" s="44" t="s">
        <v>2167</v>
      </c>
      <c r="Q298" s="43" t="s">
        <v>157</v>
      </c>
      <c r="R298" s="43" t="s">
        <v>35</v>
      </c>
      <c r="S298" s="43" t="s">
        <v>36</v>
      </c>
      <c r="T298" s="43" t="s">
        <v>36</v>
      </c>
      <c r="U298" s="43" t="s">
        <v>36</v>
      </c>
      <c r="V298" s="43" t="s">
        <v>36</v>
      </c>
      <c r="W298" s="43" t="s">
        <v>36</v>
      </c>
      <c r="X298" s="43" t="s">
        <v>36</v>
      </c>
      <c r="Y298" s="43" t="s">
        <v>36</v>
      </c>
      <c r="Z298" s="43" t="s">
        <v>36</v>
      </c>
      <c r="AA298" s="43" t="s">
        <v>36</v>
      </c>
    </row>
    <row r="299" spans="1:27" ht="14.5">
      <c r="A299">
        <v>298</v>
      </c>
      <c r="B299" s="2" t="s">
        <v>2168</v>
      </c>
      <c r="C299" s="2" t="s">
        <v>2169</v>
      </c>
      <c r="D299" s="2" t="s">
        <v>2170</v>
      </c>
      <c r="E299" s="2" t="s">
        <v>2171</v>
      </c>
      <c r="F299" s="2" t="s">
        <v>2172</v>
      </c>
      <c r="G299" s="2">
        <v>2024</v>
      </c>
      <c r="H299" s="2" t="s">
        <v>2147</v>
      </c>
      <c r="I299" s="2"/>
      <c r="J299" s="2"/>
      <c r="K299" s="2"/>
      <c r="L299" s="2">
        <v>1</v>
      </c>
      <c r="M299" s="2">
        <v>2</v>
      </c>
      <c r="N299" s="2">
        <v>1</v>
      </c>
      <c r="O299" s="2" t="s">
        <v>2173</v>
      </c>
      <c r="P299" s="2" t="s">
        <v>2174</v>
      </c>
      <c r="Q299" s="2" t="s">
        <v>124</v>
      </c>
      <c r="R299" s="2" t="s">
        <v>35</v>
      </c>
      <c r="S299" s="2" t="s">
        <v>36</v>
      </c>
      <c r="T299" s="2" t="s">
        <v>36</v>
      </c>
      <c r="U299" s="2" t="s">
        <v>36</v>
      </c>
      <c r="V299" s="2" t="s">
        <v>36</v>
      </c>
      <c r="W299" s="2" t="s">
        <v>36</v>
      </c>
      <c r="X299" s="2" t="s">
        <v>37</v>
      </c>
      <c r="Y299" s="2"/>
      <c r="Z299" s="2"/>
      <c r="AA299" s="2"/>
    </row>
    <row r="300" spans="1:27" s="43" customFormat="1" ht="14.5">
      <c r="A300" s="36">
        <v>299</v>
      </c>
      <c r="B300" s="43" t="s">
        <v>2175</v>
      </c>
      <c r="C300" s="43" t="s">
        <v>2176</v>
      </c>
      <c r="D300" s="43" t="s">
        <v>2177</v>
      </c>
      <c r="E300" s="43" t="s">
        <v>2178</v>
      </c>
      <c r="F300" s="43" t="s">
        <v>2179</v>
      </c>
      <c r="G300" s="43">
        <v>2024</v>
      </c>
      <c r="H300" s="43" t="s">
        <v>112</v>
      </c>
      <c r="I300" s="43" t="s">
        <v>2122</v>
      </c>
      <c r="L300" s="43">
        <v>117</v>
      </c>
      <c r="M300" s="43">
        <v>126</v>
      </c>
      <c r="N300" s="43">
        <v>9</v>
      </c>
      <c r="O300" s="43" t="s">
        <v>2180</v>
      </c>
      <c r="P300" s="44" t="s">
        <v>2181</v>
      </c>
      <c r="Q300" s="43" t="s">
        <v>124</v>
      </c>
      <c r="R300" s="43" t="s">
        <v>35</v>
      </c>
      <c r="S300" s="43" t="s">
        <v>36</v>
      </c>
      <c r="T300" s="43" t="s">
        <v>36</v>
      </c>
      <c r="U300" s="43" t="s">
        <v>36</v>
      </c>
      <c r="V300" s="43" t="s">
        <v>36</v>
      </c>
      <c r="W300" s="43" t="s">
        <v>36</v>
      </c>
      <c r="X300" s="43" t="s">
        <v>36</v>
      </c>
      <c r="Y300" s="43" t="s">
        <v>36</v>
      </c>
      <c r="Z300" s="43" t="s">
        <v>36</v>
      </c>
      <c r="AA300" s="43" t="s">
        <v>36</v>
      </c>
    </row>
    <row r="301" spans="1:27" ht="14.5">
      <c r="A301">
        <v>300</v>
      </c>
      <c r="B301" s="2" t="s">
        <v>2182</v>
      </c>
      <c r="C301" s="2" t="s">
        <v>2183</v>
      </c>
      <c r="D301" s="2" t="s">
        <v>2184</v>
      </c>
      <c r="E301" s="2" t="s">
        <v>2185</v>
      </c>
      <c r="F301" s="2" t="s">
        <v>2925</v>
      </c>
      <c r="G301" s="2">
        <v>2024</v>
      </c>
      <c r="H301" s="2" t="s">
        <v>79</v>
      </c>
      <c r="I301" s="2"/>
      <c r="J301" s="2"/>
      <c r="K301" s="2"/>
      <c r="L301" s="2">
        <v>205</v>
      </c>
      <c r="M301" s="2">
        <v>217</v>
      </c>
      <c r="N301" s="2">
        <v>12</v>
      </c>
      <c r="O301" s="2" t="s">
        <v>2186</v>
      </c>
      <c r="P301" s="2" t="s">
        <v>2187</v>
      </c>
      <c r="Q301" s="2" t="s">
        <v>124</v>
      </c>
      <c r="R301" s="2" t="s">
        <v>35</v>
      </c>
      <c r="S301" s="2" t="s">
        <v>36</v>
      </c>
      <c r="T301" s="2" t="s">
        <v>36</v>
      </c>
      <c r="U301" s="2" t="s">
        <v>36</v>
      </c>
      <c r="V301" s="2" t="s">
        <v>36</v>
      </c>
      <c r="W301" s="2" t="s">
        <v>36</v>
      </c>
      <c r="X301" s="2" t="s">
        <v>36</v>
      </c>
      <c r="Y301" s="2" t="s">
        <v>36</v>
      </c>
      <c r="Z301" s="2" t="s">
        <v>37</v>
      </c>
      <c r="AA301" s="2"/>
    </row>
    <row r="302" spans="1:27" ht="14.5">
      <c r="A302">
        <v>301</v>
      </c>
      <c r="B302" s="2" t="s">
        <v>2188</v>
      </c>
      <c r="C302" s="2" t="s">
        <v>2189</v>
      </c>
      <c r="D302" s="2" t="s">
        <v>2190</v>
      </c>
      <c r="E302" s="2" t="s">
        <v>2926</v>
      </c>
      <c r="F302" s="2" t="s">
        <v>2927</v>
      </c>
      <c r="G302" s="2">
        <v>2025</v>
      </c>
      <c r="H302" s="2" t="s">
        <v>31</v>
      </c>
      <c r="I302" s="2" t="s">
        <v>2191</v>
      </c>
      <c r="J302" s="2"/>
      <c r="K302" s="2"/>
      <c r="L302" s="2">
        <v>14</v>
      </c>
      <c r="M302" s="2">
        <v>30</v>
      </c>
      <c r="N302" s="2">
        <v>16</v>
      </c>
      <c r="O302" s="2" t="s">
        <v>2192</v>
      </c>
      <c r="P302" s="2" t="s">
        <v>2193</v>
      </c>
      <c r="Q302" s="2" t="s">
        <v>124</v>
      </c>
      <c r="R302" s="2" t="s">
        <v>35</v>
      </c>
      <c r="S302" s="2" t="s">
        <v>36</v>
      </c>
      <c r="T302" s="2" t="s">
        <v>36</v>
      </c>
      <c r="U302" s="2" t="s">
        <v>36</v>
      </c>
      <c r="V302" s="2" t="s">
        <v>36</v>
      </c>
      <c r="W302" s="2" t="s">
        <v>36</v>
      </c>
      <c r="X302" s="2" t="s">
        <v>36</v>
      </c>
      <c r="Y302" s="2" t="s">
        <v>36</v>
      </c>
      <c r="Z302" s="2" t="s">
        <v>37</v>
      </c>
      <c r="AA302" s="2"/>
    </row>
    <row r="303" spans="1:27" s="43" customFormat="1" ht="14.5">
      <c r="A303" s="36">
        <v>302</v>
      </c>
      <c r="B303" s="43" t="s">
        <v>2194</v>
      </c>
      <c r="C303" s="43" t="s">
        <v>2195</v>
      </c>
      <c r="D303" s="43" t="s">
        <v>2196</v>
      </c>
      <c r="E303" s="43" t="s">
        <v>2197</v>
      </c>
      <c r="F303" s="43" t="s">
        <v>2198</v>
      </c>
      <c r="G303" s="43">
        <v>2024</v>
      </c>
      <c r="H303" s="43" t="s">
        <v>151</v>
      </c>
      <c r="I303" s="43">
        <v>31</v>
      </c>
      <c r="J303" s="43">
        <v>2</v>
      </c>
      <c r="K303" s="43">
        <v>55</v>
      </c>
      <c r="N303" s="43">
        <v>56</v>
      </c>
      <c r="O303" s="43" t="s">
        <v>2199</v>
      </c>
      <c r="P303" s="44" t="s">
        <v>2200</v>
      </c>
      <c r="Q303" s="43" t="s">
        <v>157</v>
      </c>
      <c r="R303" s="43" t="s">
        <v>35</v>
      </c>
      <c r="S303" s="43" t="s">
        <v>36</v>
      </c>
      <c r="T303" s="43" t="s">
        <v>36</v>
      </c>
      <c r="U303" s="43" t="s">
        <v>36</v>
      </c>
      <c r="V303" s="43" t="s">
        <v>36</v>
      </c>
      <c r="W303" s="43" t="s">
        <v>36</v>
      </c>
      <c r="X303" s="43" t="s">
        <v>36</v>
      </c>
      <c r="Y303" s="43" t="s">
        <v>36</v>
      </c>
      <c r="Z303" s="43" t="s">
        <v>36</v>
      </c>
      <c r="AA303" s="43" t="s">
        <v>36</v>
      </c>
    </row>
    <row r="304" spans="1:27" ht="14.5">
      <c r="A304">
        <v>303</v>
      </c>
      <c r="B304" s="2"/>
      <c r="C304" s="2"/>
      <c r="D304" s="2"/>
      <c r="E304" s="2" t="s">
        <v>2085</v>
      </c>
      <c r="F304" s="2" t="s">
        <v>2086</v>
      </c>
      <c r="G304" s="2">
        <v>2024</v>
      </c>
      <c r="H304" s="2" t="s">
        <v>31</v>
      </c>
      <c r="I304" s="2" t="s">
        <v>2201</v>
      </c>
      <c r="J304" s="2"/>
      <c r="K304" s="2"/>
      <c r="L304" s="2"/>
      <c r="M304" s="2"/>
      <c r="N304" s="2">
        <v>830</v>
      </c>
      <c r="O304" s="2"/>
      <c r="P304" s="2" t="s">
        <v>2202</v>
      </c>
      <c r="Q304" s="2" t="s">
        <v>34</v>
      </c>
      <c r="R304" s="2" t="s">
        <v>35</v>
      </c>
      <c r="S304" s="2" t="s">
        <v>36</v>
      </c>
      <c r="T304" s="2" t="s">
        <v>36</v>
      </c>
      <c r="U304" s="2" t="s">
        <v>36</v>
      </c>
      <c r="V304" s="2" t="s">
        <v>37</v>
      </c>
      <c r="W304" s="2"/>
      <c r="X304" s="2"/>
      <c r="Y304" s="2"/>
      <c r="Z304" s="2"/>
      <c r="AA304" s="2"/>
    </row>
    <row r="305" spans="1:27" s="43" customFormat="1" ht="14.5">
      <c r="A305" s="36">
        <v>304</v>
      </c>
      <c r="B305" s="43" t="s">
        <v>2203</v>
      </c>
      <c r="C305" s="43" t="s">
        <v>2204</v>
      </c>
      <c r="D305" s="43" t="s">
        <v>2205</v>
      </c>
      <c r="E305" s="43" t="s">
        <v>2206</v>
      </c>
      <c r="F305" s="43" t="s">
        <v>2207</v>
      </c>
      <c r="G305" s="43">
        <v>2024</v>
      </c>
      <c r="H305" s="43" t="s">
        <v>786</v>
      </c>
      <c r="I305" s="43">
        <v>4</v>
      </c>
      <c r="L305" s="43">
        <v>2049</v>
      </c>
      <c r="M305" s="43">
        <v>2058</v>
      </c>
      <c r="N305" s="43">
        <v>9</v>
      </c>
      <c r="O305" s="43" t="s">
        <v>2208</v>
      </c>
      <c r="P305" s="44" t="s">
        <v>2209</v>
      </c>
      <c r="Q305" s="43" t="s">
        <v>124</v>
      </c>
      <c r="R305" s="43" t="s">
        <v>35</v>
      </c>
      <c r="S305" s="43" t="s">
        <v>36</v>
      </c>
      <c r="T305" s="43" t="s">
        <v>36</v>
      </c>
      <c r="U305" s="43" t="s">
        <v>36</v>
      </c>
      <c r="V305" s="43" t="s">
        <v>36</v>
      </c>
      <c r="W305" s="43" t="s">
        <v>36</v>
      </c>
      <c r="X305" s="43" t="s">
        <v>36</v>
      </c>
      <c r="Y305" s="43" t="s">
        <v>36</v>
      </c>
      <c r="Z305" s="43" t="s">
        <v>36</v>
      </c>
      <c r="AA305" s="43" t="s">
        <v>36</v>
      </c>
    </row>
    <row r="306" spans="1:27" ht="14.5">
      <c r="A306">
        <v>305</v>
      </c>
      <c r="B306" s="2" t="s">
        <v>2210</v>
      </c>
      <c r="C306" s="2" t="s">
        <v>2211</v>
      </c>
      <c r="D306" s="2" t="s">
        <v>2212</v>
      </c>
      <c r="E306" s="2" t="s">
        <v>2928</v>
      </c>
      <c r="F306" s="2" t="s">
        <v>2929</v>
      </c>
      <c r="G306" s="2">
        <v>2024</v>
      </c>
      <c r="H306" s="2" t="s">
        <v>2213</v>
      </c>
      <c r="I306" s="2"/>
      <c r="J306" s="2"/>
      <c r="K306" s="2"/>
      <c r="L306" s="2">
        <v>148</v>
      </c>
      <c r="M306" s="2">
        <v>152</v>
      </c>
      <c r="N306" s="2">
        <v>4</v>
      </c>
      <c r="O306" s="2" t="s">
        <v>2214</v>
      </c>
      <c r="P306" s="2" t="s">
        <v>2215</v>
      </c>
      <c r="Q306" s="2" t="s">
        <v>124</v>
      </c>
      <c r="R306" s="2" t="s">
        <v>35</v>
      </c>
      <c r="S306" s="2" t="s">
        <v>36</v>
      </c>
      <c r="T306" s="2" t="s">
        <v>36</v>
      </c>
      <c r="U306" s="2" t="s">
        <v>36</v>
      </c>
      <c r="V306" s="2" t="s">
        <v>36</v>
      </c>
      <c r="W306" s="2" t="s">
        <v>36</v>
      </c>
      <c r="X306" s="2" t="s">
        <v>36</v>
      </c>
      <c r="Y306" s="2" t="s">
        <v>36</v>
      </c>
      <c r="Z306" s="2" t="s">
        <v>37</v>
      </c>
      <c r="AA306" s="2"/>
    </row>
    <row r="307" spans="1:27" ht="14.5">
      <c r="A307">
        <v>306</v>
      </c>
      <c r="B307" s="2" t="s">
        <v>2216</v>
      </c>
      <c r="C307" s="2" t="s">
        <v>2217</v>
      </c>
      <c r="D307" s="2" t="s">
        <v>2218</v>
      </c>
      <c r="E307" s="2" t="s">
        <v>2219</v>
      </c>
      <c r="F307" s="2" t="s">
        <v>2220</v>
      </c>
      <c r="G307" s="2">
        <v>2024</v>
      </c>
      <c r="H307" s="2" t="s">
        <v>409</v>
      </c>
      <c r="I307" s="2"/>
      <c r="J307" s="2"/>
      <c r="K307" s="2"/>
      <c r="L307" s="2"/>
      <c r="M307" s="2"/>
      <c r="N307" s="2">
        <v>16</v>
      </c>
      <c r="O307" s="2" t="s">
        <v>2221</v>
      </c>
      <c r="P307" s="41" t="s">
        <v>2222</v>
      </c>
      <c r="Q307" s="2" t="s">
        <v>157</v>
      </c>
      <c r="R307" s="2" t="s">
        <v>35</v>
      </c>
      <c r="S307" s="2" t="s">
        <v>36</v>
      </c>
      <c r="T307" s="2" t="s">
        <v>36</v>
      </c>
      <c r="U307" s="2" t="s">
        <v>36</v>
      </c>
      <c r="V307" s="2" t="s">
        <v>36</v>
      </c>
      <c r="W307" s="2" t="s">
        <v>36</v>
      </c>
      <c r="X307" s="2" t="s">
        <v>36</v>
      </c>
      <c r="Y307" s="2" t="s">
        <v>36</v>
      </c>
      <c r="Z307" s="2" t="s">
        <v>37</v>
      </c>
      <c r="AA307" s="2"/>
    </row>
    <row r="308" spans="1:27" s="43" customFormat="1" ht="14.5">
      <c r="A308" s="36">
        <v>307</v>
      </c>
      <c r="B308" s="43" t="s">
        <v>2223</v>
      </c>
      <c r="C308" s="43" t="s">
        <v>2224</v>
      </c>
      <c r="D308" s="43" t="s">
        <v>2225</v>
      </c>
      <c r="E308" s="43" t="s">
        <v>2226</v>
      </c>
      <c r="F308" s="43" t="s">
        <v>2227</v>
      </c>
      <c r="G308" s="43">
        <v>2025</v>
      </c>
      <c r="H308" s="43" t="s">
        <v>2048</v>
      </c>
      <c r="I308" s="43" t="s">
        <v>2049</v>
      </c>
      <c r="L308" s="43">
        <v>27</v>
      </c>
      <c r="M308" s="43">
        <v>42</v>
      </c>
      <c r="N308" s="43">
        <v>15</v>
      </c>
      <c r="O308" s="43" t="s">
        <v>2228</v>
      </c>
      <c r="P308" s="44" t="s">
        <v>2229</v>
      </c>
      <c r="Q308" s="43" t="s">
        <v>124</v>
      </c>
      <c r="R308" s="43" t="s">
        <v>35</v>
      </c>
      <c r="S308" s="43" t="s">
        <v>36</v>
      </c>
      <c r="T308" s="43" t="s">
        <v>36</v>
      </c>
      <c r="U308" s="43" t="s">
        <v>36</v>
      </c>
      <c r="V308" s="43" t="s">
        <v>36</v>
      </c>
      <c r="W308" s="43" t="s">
        <v>36</v>
      </c>
      <c r="X308" s="43" t="s">
        <v>36</v>
      </c>
      <c r="Y308" s="43" t="s">
        <v>36</v>
      </c>
      <c r="Z308" s="43" t="s">
        <v>36</v>
      </c>
      <c r="AA308" s="43" t="s">
        <v>36</v>
      </c>
    </row>
    <row r="309" spans="1:27" ht="14.5">
      <c r="A309">
        <v>308</v>
      </c>
      <c r="B309" s="2"/>
      <c r="C309" s="2"/>
      <c r="D309" s="2"/>
      <c r="E309" s="2" t="s">
        <v>2230</v>
      </c>
      <c r="F309" s="2" t="s">
        <v>2231</v>
      </c>
      <c r="G309" s="2">
        <v>2024</v>
      </c>
      <c r="H309" s="2" t="s">
        <v>41</v>
      </c>
      <c r="I309" s="2" t="s">
        <v>2232</v>
      </c>
      <c r="J309" s="2"/>
      <c r="K309" s="2"/>
      <c r="L309" s="2"/>
      <c r="M309" s="2"/>
      <c r="N309" s="2">
        <v>592</v>
      </c>
      <c r="O309" s="2"/>
      <c r="P309" s="2" t="s">
        <v>2233</v>
      </c>
      <c r="Q309" s="2" t="s">
        <v>34</v>
      </c>
      <c r="R309" s="2" t="s">
        <v>35</v>
      </c>
      <c r="S309" s="2" t="s">
        <v>36</v>
      </c>
      <c r="T309" s="2" t="s">
        <v>36</v>
      </c>
      <c r="U309" s="2" t="s">
        <v>36</v>
      </c>
      <c r="V309" s="2" t="s">
        <v>37</v>
      </c>
      <c r="W309" s="2"/>
      <c r="X309" s="2"/>
      <c r="Y309" s="2"/>
      <c r="Z309" s="2"/>
      <c r="AA309" s="2"/>
    </row>
    <row r="310" spans="1:27" ht="14.5">
      <c r="A310">
        <v>309</v>
      </c>
      <c r="B310" s="2" t="s">
        <v>2234</v>
      </c>
      <c r="C310" s="2" t="s">
        <v>2235</v>
      </c>
      <c r="D310" s="2" t="s">
        <v>2236</v>
      </c>
      <c r="E310" s="2" t="s">
        <v>2930</v>
      </c>
      <c r="F310" s="2" t="s">
        <v>2931</v>
      </c>
      <c r="G310" s="2">
        <v>2024</v>
      </c>
      <c r="H310" s="2" t="s">
        <v>41</v>
      </c>
      <c r="I310" s="2" t="s">
        <v>2237</v>
      </c>
      <c r="J310" s="2"/>
      <c r="K310" s="2"/>
      <c r="L310" s="2">
        <v>359</v>
      </c>
      <c r="M310" s="2">
        <v>367</v>
      </c>
      <c r="N310" s="2">
        <v>8</v>
      </c>
      <c r="O310" s="2" t="s">
        <v>2238</v>
      </c>
      <c r="P310" s="2" t="s">
        <v>2239</v>
      </c>
      <c r="Q310" s="2" t="s">
        <v>124</v>
      </c>
      <c r="R310" s="2" t="s">
        <v>35</v>
      </c>
      <c r="S310" s="2" t="s">
        <v>36</v>
      </c>
      <c r="T310" s="2" t="s">
        <v>36</v>
      </c>
      <c r="U310" s="2" t="s">
        <v>36</v>
      </c>
      <c r="V310" s="2" t="s">
        <v>36</v>
      </c>
      <c r="W310" s="2" t="s">
        <v>36</v>
      </c>
      <c r="X310" s="2" t="s">
        <v>36</v>
      </c>
      <c r="Y310" s="2" t="s">
        <v>36</v>
      </c>
      <c r="Z310" s="2" t="s">
        <v>37</v>
      </c>
      <c r="AA310" s="2"/>
    </row>
    <row r="311" spans="1:27" ht="14.5">
      <c r="A311">
        <v>310</v>
      </c>
      <c r="B311" s="2" t="s">
        <v>2240</v>
      </c>
      <c r="C311" s="2" t="s">
        <v>2241</v>
      </c>
      <c r="D311" s="2" t="s">
        <v>2242</v>
      </c>
      <c r="E311" s="2" t="s">
        <v>2932</v>
      </c>
      <c r="F311" s="2" t="s">
        <v>2933</v>
      </c>
      <c r="G311" s="2">
        <v>2024</v>
      </c>
      <c r="H311" s="2" t="s">
        <v>2243</v>
      </c>
      <c r="I311" s="2"/>
      <c r="J311" s="2"/>
      <c r="K311" s="2"/>
      <c r="L311" s="2"/>
      <c r="M311" s="2"/>
      <c r="N311" s="2">
        <v>5</v>
      </c>
      <c r="O311" s="2" t="s">
        <v>2244</v>
      </c>
      <c r="P311" s="41" t="s">
        <v>2245</v>
      </c>
      <c r="Q311" s="2" t="s">
        <v>124</v>
      </c>
      <c r="R311" s="2" t="s">
        <v>35</v>
      </c>
      <c r="S311" s="2" t="s">
        <v>36</v>
      </c>
      <c r="T311" s="2" t="s">
        <v>36</v>
      </c>
      <c r="U311" s="2" t="s">
        <v>36</v>
      </c>
      <c r="V311" s="2" t="s">
        <v>36</v>
      </c>
      <c r="W311" s="2" t="s">
        <v>36</v>
      </c>
      <c r="X311" s="2" t="s">
        <v>36</v>
      </c>
      <c r="Y311" s="2" t="s">
        <v>37</v>
      </c>
      <c r="Z311" s="2"/>
      <c r="AA311" s="2"/>
    </row>
    <row r="312" spans="1:27" s="2" customFormat="1" ht="14.5">
      <c r="A312">
        <v>311</v>
      </c>
      <c r="B312" s="2" t="s">
        <v>2246</v>
      </c>
      <c r="C312" s="2" t="s">
        <v>2247</v>
      </c>
      <c r="D312" s="2" t="s">
        <v>2248</v>
      </c>
      <c r="E312" s="2" t="s">
        <v>2249</v>
      </c>
      <c r="F312" s="2" t="s">
        <v>2250</v>
      </c>
      <c r="G312" s="2">
        <v>2025</v>
      </c>
      <c r="H312" s="2" t="s">
        <v>1628</v>
      </c>
      <c r="I312" s="2">
        <v>223</v>
      </c>
      <c r="K312" s="2">
        <v>112357</v>
      </c>
      <c r="N312" s="2">
        <v>19</v>
      </c>
      <c r="O312" s="2" t="s">
        <v>2251</v>
      </c>
      <c r="P312" s="41" t="s">
        <v>2252</v>
      </c>
      <c r="Q312" s="2" t="s">
        <v>157</v>
      </c>
      <c r="R312" s="2" t="s">
        <v>35</v>
      </c>
      <c r="S312" s="2" t="s">
        <v>36</v>
      </c>
      <c r="T312" s="2" t="s">
        <v>36</v>
      </c>
      <c r="U312" s="2" t="s">
        <v>36</v>
      </c>
      <c r="V312" s="2" t="s">
        <v>36</v>
      </c>
      <c r="W312" s="2" t="s">
        <v>36</v>
      </c>
      <c r="X312" s="2" t="s">
        <v>36</v>
      </c>
      <c r="Y312" s="2" t="s">
        <v>36</v>
      </c>
      <c r="Z312" s="2" t="s">
        <v>36</v>
      </c>
      <c r="AA312" s="2" t="s">
        <v>37</v>
      </c>
    </row>
    <row r="313" spans="1:27" s="2" customFormat="1" ht="14.5">
      <c r="A313">
        <v>312</v>
      </c>
      <c r="B313" s="2" t="s">
        <v>2253</v>
      </c>
      <c r="C313" s="2" t="s">
        <v>2254</v>
      </c>
      <c r="D313" s="2" t="s">
        <v>2255</v>
      </c>
      <c r="E313" s="2" t="s">
        <v>2934</v>
      </c>
      <c r="F313" s="2" t="s">
        <v>2935</v>
      </c>
      <c r="G313" s="2">
        <v>2024</v>
      </c>
      <c r="H313" s="2" t="s">
        <v>2256</v>
      </c>
      <c r="L313" s="2">
        <v>533</v>
      </c>
      <c r="M313" s="2">
        <v>540</v>
      </c>
      <c r="N313" s="2">
        <v>7</v>
      </c>
      <c r="O313" s="2" t="s">
        <v>2257</v>
      </c>
      <c r="P313" s="41" t="s">
        <v>2258</v>
      </c>
      <c r="Q313" s="2" t="s">
        <v>124</v>
      </c>
      <c r="R313" s="2" t="s">
        <v>35</v>
      </c>
      <c r="S313" s="2" t="s">
        <v>36</v>
      </c>
      <c r="T313" s="2" t="s">
        <v>36</v>
      </c>
      <c r="U313" s="2" t="s">
        <v>36</v>
      </c>
      <c r="V313" s="2" t="s">
        <v>36</v>
      </c>
      <c r="W313" s="2" t="s">
        <v>36</v>
      </c>
      <c r="X313" s="2" t="s">
        <v>36</v>
      </c>
      <c r="Y313" s="2" t="s">
        <v>36</v>
      </c>
      <c r="Z313" s="2" t="s">
        <v>36</v>
      </c>
      <c r="AA313" s="2" t="s">
        <v>37</v>
      </c>
    </row>
    <row r="314" spans="1:27" s="2" customFormat="1" ht="14.5">
      <c r="A314">
        <v>313</v>
      </c>
      <c r="B314" s="2" t="s">
        <v>2259</v>
      </c>
      <c r="C314" s="2" t="s">
        <v>2260</v>
      </c>
      <c r="D314" s="2" t="s">
        <v>2261</v>
      </c>
      <c r="E314" s="2" t="s">
        <v>2262</v>
      </c>
      <c r="F314" s="2" t="s">
        <v>2936</v>
      </c>
      <c r="G314" s="2">
        <v>2024</v>
      </c>
      <c r="H314" s="2" t="s">
        <v>1162</v>
      </c>
      <c r="I314" s="2" t="s">
        <v>2263</v>
      </c>
      <c r="K314" s="2" t="s">
        <v>2264</v>
      </c>
      <c r="O314" s="2" t="s">
        <v>2265</v>
      </c>
      <c r="P314" s="41" t="s">
        <v>2266</v>
      </c>
      <c r="Q314" s="2" t="s">
        <v>124</v>
      </c>
      <c r="R314" s="2" t="s">
        <v>35</v>
      </c>
      <c r="S314" s="2" t="s">
        <v>36</v>
      </c>
      <c r="T314" s="2" t="s">
        <v>36</v>
      </c>
      <c r="U314" s="2" t="s">
        <v>36</v>
      </c>
      <c r="V314" s="2" t="s">
        <v>36</v>
      </c>
      <c r="W314" s="2" t="s">
        <v>36</v>
      </c>
      <c r="X314" s="2" t="s">
        <v>36</v>
      </c>
      <c r="Y314" s="2" t="s">
        <v>36</v>
      </c>
      <c r="Z314" s="2" t="s">
        <v>36</v>
      </c>
      <c r="AA314" s="2" t="s">
        <v>37</v>
      </c>
    </row>
    <row r="315" spans="1:27" ht="14.5">
      <c r="A315">
        <v>314</v>
      </c>
      <c r="B315" s="2" t="s">
        <v>2267</v>
      </c>
      <c r="C315" s="2" t="s">
        <v>2268</v>
      </c>
      <c r="D315" s="2" t="s">
        <v>2269</v>
      </c>
      <c r="E315" s="2" t="s">
        <v>2937</v>
      </c>
      <c r="F315" s="2" t="s">
        <v>2938</v>
      </c>
      <c r="G315" s="2">
        <v>2024</v>
      </c>
      <c r="H315" s="2" t="s">
        <v>79</v>
      </c>
      <c r="I315" s="2"/>
      <c r="J315" s="2"/>
      <c r="K315" s="2"/>
      <c r="L315" s="2">
        <v>155</v>
      </c>
      <c r="M315" s="2">
        <v>167</v>
      </c>
      <c r="N315" s="2">
        <v>12</v>
      </c>
      <c r="O315" s="2" t="s">
        <v>2270</v>
      </c>
      <c r="P315" s="2" t="s">
        <v>2271</v>
      </c>
      <c r="Q315" s="2" t="s">
        <v>124</v>
      </c>
      <c r="R315" s="2" t="s">
        <v>35</v>
      </c>
      <c r="S315" s="2" t="s">
        <v>36</v>
      </c>
      <c r="T315" s="2" t="s">
        <v>36</v>
      </c>
      <c r="U315" s="2" t="s">
        <v>36</v>
      </c>
      <c r="V315" s="2" t="s">
        <v>36</v>
      </c>
      <c r="W315" s="2" t="s">
        <v>36</v>
      </c>
      <c r="X315" s="2" t="s">
        <v>36</v>
      </c>
      <c r="Y315" s="2" t="s">
        <v>36</v>
      </c>
      <c r="Z315" s="2" t="s">
        <v>37</v>
      </c>
      <c r="AA315" s="2"/>
    </row>
    <row r="316" spans="1:27" ht="14.5">
      <c r="A316">
        <v>315</v>
      </c>
      <c r="B316" s="2" t="s">
        <v>2272</v>
      </c>
      <c r="C316" s="2" t="s">
        <v>2273</v>
      </c>
      <c r="D316" s="2" t="s">
        <v>2274</v>
      </c>
      <c r="E316" s="2" t="s">
        <v>2275</v>
      </c>
      <c r="F316" s="2" t="s">
        <v>2276</v>
      </c>
      <c r="G316" s="2">
        <v>2025</v>
      </c>
      <c r="H316" s="2" t="s">
        <v>2275</v>
      </c>
      <c r="I316" s="2"/>
      <c r="J316" s="2"/>
      <c r="K316" s="2"/>
      <c r="L316" s="2">
        <v>1</v>
      </c>
      <c r="M316" s="2">
        <v>488</v>
      </c>
      <c r="N316" s="2">
        <v>487</v>
      </c>
      <c r="O316" s="2" t="s">
        <v>2277</v>
      </c>
      <c r="P316" s="2" t="s">
        <v>2278</v>
      </c>
      <c r="Q316" s="2" t="s">
        <v>2279</v>
      </c>
      <c r="R316" s="2" t="s">
        <v>35</v>
      </c>
      <c r="S316" s="2" t="s">
        <v>36</v>
      </c>
      <c r="T316" s="2" t="s">
        <v>36</v>
      </c>
      <c r="U316" s="2" t="s">
        <v>36</v>
      </c>
      <c r="V316" s="2" t="s">
        <v>37</v>
      </c>
      <c r="W316" s="2"/>
      <c r="X316" s="2"/>
      <c r="Y316" s="2"/>
      <c r="Z316" s="2"/>
      <c r="AA316" s="2"/>
    </row>
    <row r="317" spans="1:27" ht="14.5">
      <c r="A317">
        <v>316</v>
      </c>
      <c r="B317" s="2" t="s">
        <v>2280</v>
      </c>
      <c r="C317" s="2" t="s">
        <v>2281</v>
      </c>
      <c r="D317" s="2" t="s">
        <v>2282</v>
      </c>
      <c r="E317" s="2" t="s">
        <v>2939</v>
      </c>
      <c r="F317" s="2" t="s">
        <v>2283</v>
      </c>
      <c r="G317" s="2">
        <v>2024</v>
      </c>
      <c r="H317" s="2" t="s">
        <v>2284</v>
      </c>
      <c r="I317" s="2"/>
      <c r="J317" s="2"/>
      <c r="K317" s="2"/>
      <c r="L317" s="2"/>
      <c r="M317" s="2"/>
      <c r="N317" s="2">
        <v>6</v>
      </c>
      <c r="O317" s="2" t="s">
        <v>2285</v>
      </c>
      <c r="P317" s="41" t="s">
        <v>2286</v>
      </c>
      <c r="Q317" s="2" t="s">
        <v>124</v>
      </c>
      <c r="R317" s="2" t="s">
        <v>35</v>
      </c>
      <c r="S317" s="2" t="s">
        <v>36</v>
      </c>
      <c r="T317" s="2" t="s">
        <v>36</v>
      </c>
      <c r="U317" s="2" t="s">
        <v>36</v>
      </c>
      <c r="V317" s="2" t="s">
        <v>36</v>
      </c>
      <c r="W317" s="2" t="s">
        <v>36</v>
      </c>
      <c r="X317" s="2" t="s">
        <v>36</v>
      </c>
      <c r="Y317" s="2" t="s">
        <v>37</v>
      </c>
      <c r="Z317" s="2"/>
      <c r="AA317" s="2"/>
    </row>
    <row r="318" spans="1:27" ht="14.5">
      <c r="A318">
        <v>317</v>
      </c>
      <c r="B318" s="2"/>
      <c r="C318" s="2"/>
      <c r="D318" s="2"/>
      <c r="E318" s="2" t="s">
        <v>2230</v>
      </c>
      <c r="F318" s="2" t="s">
        <v>2231</v>
      </c>
      <c r="G318" s="2">
        <v>2024</v>
      </c>
      <c r="H318" s="2" t="s">
        <v>41</v>
      </c>
      <c r="I318" s="2" t="s">
        <v>2237</v>
      </c>
      <c r="J318" s="2"/>
      <c r="K318" s="2"/>
      <c r="L318" s="2"/>
      <c r="M318" s="2"/>
      <c r="N318" s="2">
        <v>592</v>
      </c>
      <c r="O318" s="2"/>
      <c r="P318" s="2" t="s">
        <v>2287</v>
      </c>
      <c r="Q318" s="2" t="s">
        <v>34</v>
      </c>
      <c r="R318" s="2" t="s">
        <v>35</v>
      </c>
      <c r="S318" s="2" t="s">
        <v>36</v>
      </c>
      <c r="T318" s="2" t="s">
        <v>36</v>
      </c>
      <c r="U318" s="2" t="s">
        <v>36</v>
      </c>
      <c r="V318" s="2" t="s">
        <v>37</v>
      </c>
      <c r="W318" s="2"/>
      <c r="X318" s="2"/>
      <c r="Y318" s="2"/>
      <c r="Z318" s="2"/>
      <c r="AA318" s="2"/>
    </row>
    <row r="319" spans="1:27" ht="14.5">
      <c r="A319">
        <v>318</v>
      </c>
      <c r="B319" s="2" t="s">
        <v>2288</v>
      </c>
      <c r="C319" s="2" t="s">
        <v>2289</v>
      </c>
      <c r="D319" s="2" t="s">
        <v>2290</v>
      </c>
      <c r="E319" s="2" t="s">
        <v>2940</v>
      </c>
      <c r="F319" s="2" t="s">
        <v>2941</v>
      </c>
      <c r="G319" s="2">
        <v>2024</v>
      </c>
      <c r="H319" s="2" t="s">
        <v>565</v>
      </c>
      <c r="I319" s="2">
        <v>29</v>
      </c>
      <c r="J319" s="2">
        <v>4</v>
      </c>
      <c r="K319" s="2"/>
      <c r="L319" s="2">
        <v>481</v>
      </c>
      <c r="M319" s="2">
        <v>522</v>
      </c>
      <c r="N319" s="2">
        <v>41</v>
      </c>
      <c r="O319" s="2" t="s">
        <v>2291</v>
      </c>
      <c r="P319" s="2" t="s">
        <v>2292</v>
      </c>
      <c r="Q319" s="2" t="s">
        <v>157</v>
      </c>
      <c r="R319" s="2" t="s">
        <v>35</v>
      </c>
      <c r="S319" s="2" t="s">
        <v>36</v>
      </c>
      <c r="T319" s="2" t="s">
        <v>36</v>
      </c>
      <c r="U319" s="2" t="s">
        <v>36</v>
      </c>
      <c r="V319" s="2" t="s">
        <v>36</v>
      </c>
      <c r="W319" s="2" t="s">
        <v>36</v>
      </c>
      <c r="X319" s="2" t="s">
        <v>36</v>
      </c>
      <c r="Y319" s="2" t="s">
        <v>36</v>
      </c>
      <c r="Z319" s="2" t="s">
        <v>37</v>
      </c>
      <c r="AA319" s="2"/>
    </row>
    <row r="320" spans="1:27" ht="14.5">
      <c r="A320">
        <v>319</v>
      </c>
      <c r="B320" s="2"/>
      <c r="C320" s="2"/>
      <c r="D320" s="2"/>
      <c r="E320" s="2" t="s">
        <v>2293</v>
      </c>
      <c r="F320" s="2" t="s">
        <v>2294</v>
      </c>
      <c r="G320" s="2">
        <v>2024</v>
      </c>
      <c r="H320" s="2" t="s">
        <v>67</v>
      </c>
      <c r="I320" s="2">
        <v>3864</v>
      </c>
      <c r="J320" s="2"/>
      <c r="K320" s="2"/>
      <c r="L320" s="2"/>
      <c r="M320" s="2"/>
      <c r="N320" s="2">
        <v>59</v>
      </c>
      <c r="O320" s="2"/>
      <c r="P320" s="2" t="s">
        <v>2295</v>
      </c>
      <c r="Q320" s="2" t="s">
        <v>34</v>
      </c>
      <c r="R320" s="2" t="s">
        <v>35</v>
      </c>
      <c r="S320" s="2" t="s">
        <v>36</v>
      </c>
      <c r="T320" s="2" t="s">
        <v>36</v>
      </c>
      <c r="U320" s="2" t="s">
        <v>36</v>
      </c>
      <c r="V320" s="2" t="s">
        <v>37</v>
      </c>
      <c r="W320" s="2"/>
      <c r="X320" s="2"/>
      <c r="Y320" s="2"/>
      <c r="Z320" s="2"/>
      <c r="AA320" s="2"/>
    </row>
    <row r="321" spans="1:27" ht="14.5">
      <c r="A321">
        <v>320</v>
      </c>
      <c r="B321" s="2" t="s">
        <v>205</v>
      </c>
      <c r="C321" s="2" t="s">
        <v>2296</v>
      </c>
      <c r="D321" s="2" t="s">
        <v>2297</v>
      </c>
      <c r="E321" s="2" t="s">
        <v>2942</v>
      </c>
      <c r="F321" s="2" t="s">
        <v>2943</v>
      </c>
      <c r="G321" s="2">
        <v>2025</v>
      </c>
      <c r="H321" s="2" t="s">
        <v>1511</v>
      </c>
      <c r="I321" s="2"/>
      <c r="J321" s="2"/>
      <c r="K321" s="2"/>
      <c r="L321" s="2"/>
      <c r="M321" s="2"/>
      <c r="N321" s="2">
        <v>29</v>
      </c>
      <c r="O321" s="2" t="s">
        <v>2298</v>
      </c>
      <c r="P321" s="41" t="s">
        <v>2299</v>
      </c>
      <c r="Q321" s="2" t="s">
        <v>157</v>
      </c>
      <c r="R321" s="2" t="s">
        <v>35</v>
      </c>
      <c r="S321" s="2" t="s">
        <v>36</v>
      </c>
      <c r="T321" s="2" t="s">
        <v>36</v>
      </c>
      <c r="U321" s="2" t="s">
        <v>36</v>
      </c>
      <c r="V321" s="2" t="s">
        <v>36</v>
      </c>
      <c r="W321" s="2" t="s">
        <v>36</v>
      </c>
      <c r="X321" s="2" t="s">
        <v>36</v>
      </c>
      <c r="Y321" s="2" t="s">
        <v>37</v>
      </c>
      <c r="Z321" s="2"/>
      <c r="AA321" s="2"/>
    </row>
    <row r="322" spans="1:27" ht="14.5">
      <c r="A322">
        <v>321</v>
      </c>
      <c r="B322" s="2" t="s">
        <v>2300</v>
      </c>
      <c r="C322" s="2" t="s">
        <v>2301</v>
      </c>
      <c r="D322" s="2" t="s">
        <v>2302</v>
      </c>
      <c r="E322" s="2" t="s">
        <v>2944</v>
      </c>
      <c r="F322" s="2" t="s">
        <v>2303</v>
      </c>
      <c r="G322" s="2">
        <v>2024</v>
      </c>
      <c r="H322" s="2" t="s">
        <v>86</v>
      </c>
      <c r="I322" s="2"/>
      <c r="J322" s="2"/>
      <c r="K322" s="2"/>
      <c r="L322" s="2">
        <v>519</v>
      </c>
      <c r="M322" s="2">
        <v>525</v>
      </c>
      <c r="N322" s="2">
        <v>6</v>
      </c>
      <c r="O322" s="2" t="s">
        <v>2304</v>
      </c>
      <c r="P322" s="2" t="s">
        <v>2305</v>
      </c>
      <c r="Q322" s="2" t="s">
        <v>124</v>
      </c>
      <c r="R322" s="2" t="s">
        <v>35</v>
      </c>
      <c r="S322" s="2" t="s">
        <v>36</v>
      </c>
      <c r="T322" s="2" t="s">
        <v>36</v>
      </c>
      <c r="U322" s="2" t="s">
        <v>36</v>
      </c>
      <c r="V322" s="2" t="s">
        <v>36</v>
      </c>
      <c r="W322" s="2" t="s">
        <v>36</v>
      </c>
      <c r="X322" s="2" t="s">
        <v>36</v>
      </c>
      <c r="Y322" s="2" t="s">
        <v>37</v>
      </c>
      <c r="Z322" s="2"/>
      <c r="AA322" s="2"/>
    </row>
    <row r="323" spans="1:27" ht="14.5">
      <c r="A323">
        <v>322</v>
      </c>
      <c r="B323" s="2" t="s">
        <v>2306</v>
      </c>
      <c r="C323" s="2" t="s">
        <v>2307</v>
      </c>
      <c r="D323" s="2" t="s">
        <v>2308</v>
      </c>
      <c r="E323" s="2" t="s">
        <v>2945</v>
      </c>
      <c r="F323" s="2" t="s">
        <v>2309</v>
      </c>
      <c r="G323" s="2">
        <v>2024</v>
      </c>
      <c r="H323" s="2" t="s">
        <v>151</v>
      </c>
      <c r="I323" s="2">
        <v>31</v>
      </c>
      <c r="J323" s="2">
        <v>2</v>
      </c>
      <c r="K323" s="2">
        <v>69</v>
      </c>
      <c r="L323" s="2"/>
      <c r="M323" s="2"/>
      <c r="N323" s="2">
        <v>53</v>
      </c>
      <c r="O323" s="2" t="s">
        <v>2310</v>
      </c>
      <c r="P323" s="41" t="s">
        <v>2311</v>
      </c>
      <c r="Q323" s="2" t="s">
        <v>157</v>
      </c>
      <c r="R323" s="2" t="s">
        <v>35</v>
      </c>
      <c r="S323" s="2" t="s">
        <v>36</v>
      </c>
      <c r="T323" s="2" t="s">
        <v>36</v>
      </c>
      <c r="U323" s="2" t="s">
        <v>36</v>
      </c>
      <c r="V323" s="2" t="s">
        <v>36</v>
      </c>
      <c r="W323" s="2" t="s">
        <v>36</v>
      </c>
      <c r="X323" s="2" t="s">
        <v>36</v>
      </c>
      <c r="Y323" s="2" t="s">
        <v>37</v>
      </c>
      <c r="Z323" s="2"/>
      <c r="AA323" s="2"/>
    </row>
    <row r="324" spans="1:27" ht="14.5">
      <c r="A324">
        <v>323</v>
      </c>
      <c r="B324" s="2" t="s">
        <v>2312</v>
      </c>
      <c r="C324" s="2" t="s">
        <v>2313</v>
      </c>
      <c r="D324" s="2" t="s">
        <v>2314</v>
      </c>
      <c r="E324" s="2" t="s">
        <v>2315</v>
      </c>
      <c r="F324" s="2" t="s">
        <v>2316</v>
      </c>
      <c r="G324" s="2">
        <v>2024</v>
      </c>
      <c r="H324" s="2" t="s">
        <v>2317</v>
      </c>
      <c r="I324" s="2"/>
      <c r="J324" s="2"/>
      <c r="K324" s="2"/>
      <c r="L324" s="2">
        <v>279</v>
      </c>
      <c r="M324" s="2">
        <v>286</v>
      </c>
      <c r="N324" s="2">
        <v>7</v>
      </c>
      <c r="O324" s="2" t="s">
        <v>2318</v>
      </c>
      <c r="P324" s="2" t="s">
        <v>2319</v>
      </c>
      <c r="Q324" s="2" t="s">
        <v>124</v>
      </c>
      <c r="R324" s="2" t="s">
        <v>35</v>
      </c>
      <c r="S324" s="2" t="s">
        <v>36</v>
      </c>
      <c r="T324" s="2" t="s">
        <v>36</v>
      </c>
      <c r="U324" s="2" t="s">
        <v>36</v>
      </c>
      <c r="V324" s="2" t="s">
        <v>37</v>
      </c>
      <c r="W324" s="2"/>
      <c r="X324" s="2"/>
      <c r="Y324" s="2"/>
      <c r="Z324" s="2"/>
      <c r="AA324" s="2"/>
    </row>
    <row r="325" spans="1:27" ht="14.5">
      <c r="A325">
        <v>324</v>
      </c>
      <c r="B325" s="2" t="s">
        <v>2320</v>
      </c>
      <c r="C325" s="2" t="s">
        <v>2321</v>
      </c>
      <c r="D325" s="2" t="s">
        <v>2322</v>
      </c>
      <c r="E325" s="2" t="s">
        <v>2946</v>
      </c>
      <c r="F325" s="2" t="s">
        <v>2323</v>
      </c>
      <c r="G325" s="2">
        <v>2024</v>
      </c>
      <c r="H325" s="2" t="s">
        <v>2324</v>
      </c>
      <c r="I325" s="2">
        <v>10</v>
      </c>
      <c r="J325" s="2"/>
      <c r="K325" s="2" t="s">
        <v>2325</v>
      </c>
      <c r="L325" s="2"/>
      <c r="M325" s="2"/>
      <c r="N325" s="2">
        <v>56</v>
      </c>
      <c r="O325" s="2" t="s">
        <v>2326</v>
      </c>
      <c r="P325" s="41" t="s">
        <v>2327</v>
      </c>
      <c r="Q325" s="2" t="s">
        <v>157</v>
      </c>
      <c r="R325" s="2" t="s">
        <v>35</v>
      </c>
      <c r="S325" s="2" t="s">
        <v>36</v>
      </c>
      <c r="T325" s="2" t="s">
        <v>36</v>
      </c>
      <c r="U325" s="2" t="s">
        <v>36</v>
      </c>
      <c r="V325" s="2" t="s">
        <v>36</v>
      </c>
      <c r="W325" s="2" t="s">
        <v>36</v>
      </c>
      <c r="X325" s="2" t="s">
        <v>36</v>
      </c>
      <c r="Y325" s="2" t="s">
        <v>37</v>
      </c>
      <c r="Z325" s="2"/>
      <c r="AA325" s="2"/>
    </row>
    <row r="326" spans="1:27" s="43" customFormat="1" ht="14.5">
      <c r="A326" s="36">
        <v>325</v>
      </c>
      <c r="B326" s="43" t="s">
        <v>2328</v>
      </c>
      <c r="C326" s="43" t="s">
        <v>2329</v>
      </c>
      <c r="D326" s="43" t="s">
        <v>2330</v>
      </c>
      <c r="E326" s="43" t="s">
        <v>2331</v>
      </c>
      <c r="F326" s="43" t="s">
        <v>2499</v>
      </c>
      <c r="G326" s="43">
        <v>2024</v>
      </c>
      <c r="H326" s="43" t="s">
        <v>2333</v>
      </c>
      <c r="N326" s="43">
        <v>6</v>
      </c>
      <c r="O326" s="43" t="s">
        <v>2334</v>
      </c>
      <c r="P326" s="44" t="s">
        <v>2335</v>
      </c>
      <c r="Q326" s="43" t="s">
        <v>124</v>
      </c>
      <c r="R326" s="43" t="s">
        <v>35</v>
      </c>
      <c r="S326" s="43" t="s">
        <v>36</v>
      </c>
      <c r="T326" s="43" t="s">
        <v>36</v>
      </c>
      <c r="U326" s="43" t="s">
        <v>36</v>
      </c>
      <c r="V326" s="43" t="s">
        <v>36</v>
      </c>
      <c r="W326" s="43" t="s">
        <v>36</v>
      </c>
      <c r="X326" s="43" t="s">
        <v>36</v>
      </c>
      <c r="Y326" s="43" t="s">
        <v>36</v>
      </c>
      <c r="Z326" s="43" t="s">
        <v>36</v>
      </c>
      <c r="AA326" s="43" t="s">
        <v>36</v>
      </c>
    </row>
    <row r="327" spans="1:27" s="43" customFormat="1" ht="14.5">
      <c r="A327" s="36">
        <v>326</v>
      </c>
      <c r="B327" s="43" t="s">
        <v>2336</v>
      </c>
      <c r="C327" s="43" t="s">
        <v>2337</v>
      </c>
      <c r="D327" s="43" t="s">
        <v>2338</v>
      </c>
      <c r="E327" s="43" t="s">
        <v>2339</v>
      </c>
      <c r="F327" s="43" t="s">
        <v>2500</v>
      </c>
      <c r="G327" s="43">
        <v>2024</v>
      </c>
      <c r="H327" s="43" t="s">
        <v>79</v>
      </c>
      <c r="L327" s="43">
        <v>389</v>
      </c>
      <c r="M327" s="43">
        <v>397</v>
      </c>
      <c r="N327" s="43">
        <v>8</v>
      </c>
      <c r="O327" s="43" t="s">
        <v>2341</v>
      </c>
      <c r="P327" s="44" t="s">
        <v>2342</v>
      </c>
      <c r="Q327" s="43" t="s">
        <v>124</v>
      </c>
      <c r="R327" s="43" t="s">
        <v>35</v>
      </c>
      <c r="S327" s="43" t="s">
        <v>36</v>
      </c>
      <c r="T327" s="43" t="s">
        <v>36</v>
      </c>
      <c r="U327" s="43" t="s">
        <v>36</v>
      </c>
      <c r="V327" s="43" t="s">
        <v>36</v>
      </c>
      <c r="W327" s="43" t="s">
        <v>36</v>
      </c>
      <c r="X327" s="43" t="s">
        <v>36</v>
      </c>
      <c r="Y327" s="43" t="s">
        <v>36</v>
      </c>
      <c r="Z327" s="43" t="s">
        <v>36</v>
      </c>
      <c r="AA327" s="43" t="s">
        <v>36</v>
      </c>
    </row>
    <row r="328" spans="1:27" ht="14.5">
      <c r="A328">
        <v>327</v>
      </c>
      <c r="B328" s="2" t="s">
        <v>2343</v>
      </c>
      <c r="C328" s="2" t="s">
        <v>2344</v>
      </c>
      <c r="D328" s="2" t="s">
        <v>2345</v>
      </c>
      <c r="E328" s="2" t="s">
        <v>2947</v>
      </c>
      <c r="F328" s="2" t="s">
        <v>2948</v>
      </c>
      <c r="G328" s="2">
        <v>2024</v>
      </c>
      <c r="H328" s="2" t="s">
        <v>31</v>
      </c>
      <c r="I328" s="2" t="s">
        <v>2346</v>
      </c>
      <c r="J328" s="2"/>
      <c r="K328" s="2"/>
      <c r="L328" s="2">
        <v>20</v>
      </c>
      <c r="M328" s="2">
        <v>29</v>
      </c>
      <c r="N328" s="2">
        <v>9</v>
      </c>
      <c r="O328" s="2" t="s">
        <v>2347</v>
      </c>
      <c r="P328" s="2" t="s">
        <v>2348</v>
      </c>
      <c r="Q328" s="2" t="s">
        <v>124</v>
      </c>
      <c r="R328" s="2" t="s">
        <v>35</v>
      </c>
      <c r="S328" s="2" t="s">
        <v>36</v>
      </c>
      <c r="T328" s="2" t="s">
        <v>36</v>
      </c>
      <c r="U328" s="2" t="s">
        <v>36</v>
      </c>
      <c r="V328" s="2" t="s">
        <v>36</v>
      </c>
      <c r="W328" s="2" t="s">
        <v>36</v>
      </c>
      <c r="X328" s="2" t="s">
        <v>36</v>
      </c>
      <c r="Y328" s="2" t="s">
        <v>36</v>
      </c>
      <c r="Z328" s="2" t="s">
        <v>37</v>
      </c>
      <c r="AA328" s="2"/>
    </row>
    <row r="329" spans="1:27" ht="14.5">
      <c r="A329">
        <v>328</v>
      </c>
      <c r="B329" s="2" t="s">
        <v>2349</v>
      </c>
      <c r="C329" s="2" t="s">
        <v>2350</v>
      </c>
      <c r="D329" s="2" t="s">
        <v>2351</v>
      </c>
      <c r="E329" s="2" t="s">
        <v>2949</v>
      </c>
      <c r="F329" s="2" t="s">
        <v>2950</v>
      </c>
      <c r="G329" s="2">
        <v>2024</v>
      </c>
      <c r="H329" s="2" t="s">
        <v>2067</v>
      </c>
      <c r="I329" s="2"/>
      <c r="J329" s="2"/>
      <c r="K329" s="2"/>
      <c r="L329" s="2"/>
      <c r="M329" s="2"/>
      <c r="N329" s="2">
        <v>10</v>
      </c>
      <c r="O329" s="2" t="s">
        <v>2352</v>
      </c>
      <c r="P329" s="41" t="s">
        <v>2353</v>
      </c>
      <c r="Q329" s="2" t="s">
        <v>124</v>
      </c>
      <c r="R329" s="2" t="s">
        <v>35</v>
      </c>
      <c r="S329" s="2" t="s">
        <v>36</v>
      </c>
      <c r="T329" s="2" t="s">
        <v>36</v>
      </c>
      <c r="U329" s="2" t="s">
        <v>36</v>
      </c>
      <c r="V329" s="2" t="s">
        <v>36</v>
      </c>
      <c r="W329" s="2" t="s">
        <v>36</v>
      </c>
      <c r="X329" s="2" t="s">
        <v>36</v>
      </c>
      <c r="Y329" s="2" t="s">
        <v>37</v>
      </c>
      <c r="Z329" s="2"/>
      <c r="AA329" s="2"/>
    </row>
    <row r="330" spans="1:27" ht="14.5">
      <c r="A330">
        <v>329</v>
      </c>
      <c r="B330" s="2" t="s">
        <v>2354</v>
      </c>
      <c r="C330" s="2" t="s">
        <v>2355</v>
      </c>
      <c r="D330" s="2" t="s">
        <v>2356</v>
      </c>
      <c r="E330" s="2" t="s">
        <v>2951</v>
      </c>
      <c r="F330" s="2" t="s">
        <v>2952</v>
      </c>
      <c r="G330" s="2">
        <v>2024</v>
      </c>
      <c r="H330" s="2" t="s">
        <v>31</v>
      </c>
      <c r="I330" s="2" t="s">
        <v>2357</v>
      </c>
      <c r="J330" s="2"/>
      <c r="K330" s="2"/>
      <c r="L330" s="2">
        <v>132</v>
      </c>
      <c r="M330" s="2">
        <v>149</v>
      </c>
      <c r="N330" s="2">
        <v>17</v>
      </c>
      <c r="O330" s="2" t="s">
        <v>2358</v>
      </c>
      <c r="P330" s="2" t="s">
        <v>2359</v>
      </c>
      <c r="Q330" s="2" t="s">
        <v>124</v>
      </c>
      <c r="R330" s="2" t="s">
        <v>35</v>
      </c>
      <c r="S330" s="2" t="s">
        <v>36</v>
      </c>
      <c r="T330" s="2" t="s">
        <v>36</v>
      </c>
      <c r="U330" s="2" t="s">
        <v>36</v>
      </c>
      <c r="V330" s="2" t="s">
        <v>36</v>
      </c>
      <c r="W330" s="2" t="s">
        <v>36</v>
      </c>
      <c r="X330" s="2" t="s">
        <v>36</v>
      </c>
      <c r="Y330" s="2" t="s">
        <v>36</v>
      </c>
      <c r="Z330" s="2" t="s">
        <v>37</v>
      </c>
      <c r="AA330" s="2"/>
    </row>
    <row r="331" spans="1:27" ht="14.5">
      <c r="A331">
        <v>330</v>
      </c>
      <c r="B331" s="2" t="s">
        <v>2360</v>
      </c>
      <c r="C331" s="2" t="s">
        <v>2361</v>
      </c>
      <c r="D331" s="2" t="s">
        <v>2362</v>
      </c>
      <c r="E331" s="2" t="s">
        <v>2953</v>
      </c>
      <c r="F331" s="2" t="s">
        <v>2363</v>
      </c>
      <c r="G331" s="2">
        <v>2024</v>
      </c>
      <c r="H331" s="2" t="s">
        <v>2364</v>
      </c>
      <c r="I331" s="2"/>
      <c r="J331" s="2"/>
      <c r="K331" s="2"/>
      <c r="L331" s="2">
        <v>605</v>
      </c>
      <c r="M331" s="2">
        <v>609</v>
      </c>
      <c r="N331" s="2">
        <v>4</v>
      </c>
      <c r="O331" s="2" t="s">
        <v>2365</v>
      </c>
      <c r="P331" s="2" t="s">
        <v>2366</v>
      </c>
      <c r="Q331" s="2" t="s">
        <v>124</v>
      </c>
      <c r="R331" s="2" t="s">
        <v>35</v>
      </c>
      <c r="S331" s="2" t="s">
        <v>36</v>
      </c>
      <c r="T331" s="2" t="s">
        <v>36</v>
      </c>
      <c r="U331" s="2" t="s">
        <v>36</v>
      </c>
      <c r="V331" s="2" t="s">
        <v>36</v>
      </c>
      <c r="W331" s="2" t="s">
        <v>36</v>
      </c>
      <c r="X331" s="2" t="s">
        <v>36</v>
      </c>
      <c r="Y331" s="2" t="s">
        <v>36</v>
      </c>
      <c r="Z331" s="2" t="s">
        <v>37</v>
      </c>
      <c r="AA331" s="2"/>
    </row>
    <row r="332" spans="1:27" ht="14.5">
      <c r="A332">
        <v>331</v>
      </c>
      <c r="B332" s="2" t="s">
        <v>2367</v>
      </c>
      <c r="C332" s="2" t="s">
        <v>2368</v>
      </c>
      <c r="D332" s="2" t="s">
        <v>2369</v>
      </c>
      <c r="E332" s="2" t="s">
        <v>2954</v>
      </c>
      <c r="F332" s="2" t="s">
        <v>2370</v>
      </c>
      <c r="G332" s="2">
        <v>2024</v>
      </c>
      <c r="H332" s="2" t="s">
        <v>2371</v>
      </c>
      <c r="I332" s="2"/>
      <c r="J332" s="2"/>
      <c r="K332" s="2"/>
      <c r="L332" s="2">
        <v>175</v>
      </c>
      <c r="M332" s="2">
        <v>178</v>
      </c>
      <c r="N332" s="2">
        <v>3</v>
      </c>
      <c r="O332" s="2" t="s">
        <v>2372</v>
      </c>
      <c r="P332" s="2" t="s">
        <v>2373</v>
      </c>
      <c r="Q332" s="2" t="s">
        <v>124</v>
      </c>
      <c r="R332" s="2" t="s">
        <v>35</v>
      </c>
      <c r="S332" s="2" t="s">
        <v>36</v>
      </c>
      <c r="T332" s="2" t="s">
        <v>36</v>
      </c>
      <c r="U332" s="2" t="s">
        <v>36</v>
      </c>
      <c r="V332" s="2" t="s">
        <v>36</v>
      </c>
      <c r="W332" s="2" t="s">
        <v>36</v>
      </c>
      <c r="X332" s="2" t="s">
        <v>36</v>
      </c>
      <c r="Y332" s="2" t="s">
        <v>37</v>
      </c>
      <c r="Z332" s="2"/>
      <c r="AA332" s="2"/>
    </row>
    <row r="333" spans="1:27" ht="14.5">
      <c r="A333">
        <v>332</v>
      </c>
      <c r="B333" s="2" t="s">
        <v>2374</v>
      </c>
      <c r="C333" s="2" t="s">
        <v>2375</v>
      </c>
      <c r="D333" s="2" t="s">
        <v>2376</v>
      </c>
      <c r="E333" s="2" t="s">
        <v>2377</v>
      </c>
      <c r="F333" s="2" t="s">
        <v>2955</v>
      </c>
      <c r="G333" s="2">
        <v>2024</v>
      </c>
      <c r="H333" s="2" t="s">
        <v>31</v>
      </c>
      <c r="I333" s="2" t="s">
        <v>2201</v>
      </c>
      <c r="J333" s="2"/>
      <c r="K333" s="2"/>
      <c r="L333" s="2">
        <v>97</v>
      </c>
      <c r="M333" s="2">
        <v>111</v>
      </c>
      <c r="N333" s="2">
        <v>14</v>
      </c>
      <c r="O333" s="2" t="s">
        <v>2378</v>
      </c>
      <c r="P333" s="2" t="s">
        <v>2379</v>
      </c>
      <c r="Q333" s="2" t="s">
        <v>124</v>
      </c>
      <c r="R333" s="2" t="s">
        <v>35</v>
      </c>
      <c r="S333" s="2" t="s">
        <v>36</v>
      </c>
      <c r="T333" s="2" t="s">
        <v>36</v>
      </c>
      <c r="U333" s="2" t="s">
        <v>36</v>
      </c>
      <c r="V333" s="2" t="s">
        <v>36</v>
      </c>
      <c r="W333" s="2" t="s">
        <v>36</v>
      </c>
      <c r="X333" s="2" t="s">
        <v>36</v>
      </c>
      <c r="Y333" s="2" t="s">
        <v>36</v>
      </c>
      <c r="Z333" s="2" t="s">
        <v>37</v>
      </c>
      <c r="AA333" s="2"/>
    </row>
    <row r="334" spans="1:27" ht="14.5">
      <c r="A334">
        <v>333</v>
      </c>
      <c r="B334" s="2" t="s">
        <v>2380</v>
      </c>
      <c r="C334" s="2" t="s">
        <v>2381</v>
      </c>
      <c r="D334" s="2" t="s">
        <v>2382</v>
      </c>
      <c r="E334" s="2" t="s">
        <v>2383</v>
      </c>
      <c r="F334" s="2" t="s">
        <v>2384</v>
      </c>
      <c r="G334" s="2">
        <v>2024</v>
      </c>
      <c r="H334" s="2" t="s">
        <v>2385</v>
      </c>
      <c r="I334" s="2"/>
      <c r="J334" s="2"/>
      <c r="K334" s="2"/>
      <c r="L334" s="2">
        <v>218</v>
      </c>
      <c r="M334" s="2">
        <v>221</v>
      </c>
      <c r="N334" s="2">
        <v>3</v>
      </c>
      <c r="O334" s="2" t="s">
        <v>2386</v>
      </c>
      <c r="P334" s="2" t="s">
        <v>2387</v>
      </c>
      <c r="Q334" s="2" t="s">
        <v>124</v>
      </c>
      <c r="R334" s="2" t="s">
        <v>35</v>
      </c>
      <c r="S334" s="2" t="s">
        <v>36</v>
      </c>
      <c r="T334" s="2" t="s">
        <v>36</v>
      </c>
      <c r="U334" s="2" t="s">
        <v>36</v>
      </c>
      <c r="V334" s="2" t="s">
        <v>37</v>
      </c>
      <c r="W334" s="2"/>
      <c r="X334" s="2"/>
      <c r="Y334" s="2"/>
      <c r="Z334" s="2"/>
      <c r="AA334" s="2"/>
    </row>
    <row r="335" spans="1:27" ht="14.5">
      <c r="A335">
        <v>334</v>
      </c>
      <c r="B335" s="2"/>
      <c r="C335" s="2"/>
      <c r="D335" s="2"/>
      <c r="E335" s="2" t="s">
        <v>2388</v>
      </c>
      <c r="F335" s="2" t="s">
        <v>2389</v>
      </c>
      <c r="G335" s="2">
        <v>2024</v>
      </c>
      <c r="H335" s="2" t="s">
        <v>2067</v>
      </c>
      <c r="I335" s="2"/>
      <c r="J335" s="2"/>
      <c r="K335" s="2"/>
      <c r="L335" s="2"/>
      <c r="M335" s="2"/>
      <c r="N335" s="2">
        <v>303</v>
      </c>
      <c r="O335" s="2"/>
      <c r="P335" s="2" t="s">
        <v>2390</v>
      </c>
      <c r="Q335" s="2" t="s">
        <v>34</v>
      </c>
      <c r="R335" s="2" t="s">
        <v>35</v>
      </c>
      <c r="S335" s="2" t="s">
        <v>36</v>
      </c>
      <c r="T335" s="2" t="s">
        <v>36</v>
      </c>
      <c r="U335" s="2" t="s">
        <v>36</v>
      </c>
      <c r="V335" s="2" t="s">
        <v>37</v>
      </c>
      <c r="W335" s="2"/>
      <c r="X335" s="2"/>
      <c r="Y335" s="2"/>
      <c r="Z335" s="2"/>
      <c r="AA335" s="2"/>
    </row>
    <row r="336" spans="1:27" ht="14.5">
      <c r="A336">
        <v>335</v>
      </c>
      <c r="B336" s="2" t="s">
        <v>2391</v>
      </c>
      <c r="C336" s="2" t="s">
        <v>2392</v>
      </c>
      <c r="D336" s="2">
        <v>57208758481</v>
      </c>
      <c r="E336" s="2" t="s">
        <v>2956</v>
      </c>
      <c r="F336" s="2" t="s">
        <v>2957</v>
      </c>
      <c r="G336" s="2">
        <v>2024</v>
      </c>
      <c r="H336" s="2" t="s">
        <v>2393</v>
      </c>
      <c r="I336" s="2">
        <v>2024</v>
      </c>
      <c r="J336" s="2"/>
      <c r="K336" s="2">
        <v>4955691</v>
      </c>
      <c r="L336" s="2"/>
      <c r="M336" s="2"/>
      <c r="N336" s="2">
        <v>20</v>
      </c>
      <c r="O336" s="2" t="s">
        <v>2394</v>
      </c>
      <c r="P336" s="41" t="s">
        <v>2395</v>
      </c>
      <c r="Q336" s="2" t="s">
        <v>157</v>
      </c>
      <c r="R336" s="2" t="s">
        <v>35</v>
      </c>
      <c r="S336" s="2" t="s">
        <v>36</v>
      </c>
      <c r="T336" s="2" t="s">
        <v>36</v>
      </c>
      <c r="U336" s="2" t="s">
        <v>36</v>
      </c>
      <c r="V336" s="2" t="s">
        <v>36</v>
      </c>
      <c r="W336" s="2" t="s">
        <v>36</v>
      </c>
      <c r="X336" s="2" t="s">
        <v>36</v>
      </c>
      <c r="Y336" s="2" t="s">
        <v>36</v>
      </c>
      <c r="Z336" s="2" t="s">
        <v>37</v>
      </c>
      <c r="AA336" s="2"/>
    </row>
    <row r="337" spans="1:27" s="43" customFormat="1" ht="14.5">
      <c r="A337" s="36">
        <v>336</v>
      </c>
      <c r="B337" s="43" t="s">
        <v>2396</v>
      </c>
      <c r="C337" s="43" t="s">
        <v>2397</v>
      </c>
      <c r="D337" s="43" t="s">
        <v>2398</v>
      </c>
      <c r="E337" s="43" t="s">
        <v>2399</v>
      </c>
      <c r="F337" s="43" t="s">
        <v>2501</v>
      </c>
      <c r="G337" s="43">
        <v>2024</v>
      </c>
      <c r="H337" s="43" t="s">
        <v>525</v>
      </c>
      <c r="I337" s="43">
        <v>12</v>
      </c>
      <c r="L337" s="43">
        <v>171972</v>
      </c>
      <c r="M337" s="43">
        <v>171992</v>
      </c>
      <c r="N337" s="43">
        <v>20</v>
      </c>
      <c r="O337" s="43" t="s">
        <v>2401</v>
      </c>
      <c r="P337" s="44" t="s">
        <v>2402</v>
      </c>
      <c r="Q337" s="43" t="s">
        <v>157</v>
      </c>
      <c r="R337" s="43" t="s">
        <v>35</v>
      </c>
      <c r="S337" s="43" t="s">
        <v>36</v>
      </c>
      <c r="T337" s="43" t="s">
        <v>36</v>
      </c>
      <c r="U337" s="43" t="s">
        <v>36</v>
      </c>
      <c r="V337" s="43" t="s">
        <v>36</v>
      </c>
      <c r="W337" s="43" t="s">
        <v>36</v>
      </c>
      <c r="X337" s="43" t="s">
        <v>36</v>
      </c>
      <c r="Y337" s="43" t="s">
        <v>36</v>
      </c>
      <c r="Z337" s="43" t="s">
        <v>36</v>
      </c>
      <c r="AA337" s="43" t="s">
        <v>36</v>
      </c>
    </row>
    <row r="338" spans="1:27" ht="14.5">
      <c r="A338">
        <v>337</v>
      </c>
      <c r="B338" s="2" t="s">
        <v>2403</v>
      </c>
      <c r="C338" s="2" t="s">
        <v>2404</v>
      </c>
      <c r="D338" s="2" t="s">
        <v>2405</v>
      </c>
      <c r="E338" s="2" t="s">
        <v>1138</v>
      </c>
      <c r="F338" s="2" t="s">
        <v>2958</v>
      </c>
      <c r="G338" s="2">
        <v>2024</v>
      </c>
      <c r="H338" s="2" t="s">
        <v>79</v>
      </c>
      <c r="I338" s="2"/>
      <c r="J338" s="2"/>
      <c r="K338" s="2"/>
      <c r="L338" s="2">
        <v>475</v>
      </c>
      <c r="M338" s="2">
        <v>483</v>
      </c>
      <c r="N338" s="2">
        <v>8</v>
      </c>
      <c r="O338" s="2" t="s">
        <v>2406</v>
      </c>
      <c r="P338" s="2" t="s">
        <v>2407</v>
      </c>
      <c r="Q338" s="2" t="s">
        <v>124</v>
      </c>
      <c r="R338" s="2" t="s">
        <v>35</v>
      </c>
      <c r="S338" s="2" t="s">
        <v>36</v>
      </c>
      <c r="T338" s="2" t="s">
        <v>36</v>
      </c>
      <c r="U338" s="2" t="s">
        <v>36</v>
      </c>
      <c r="V338" s="2" t="s">
        <v>36</v>
      </c>
      <c r="W338" s="2" t="s">
        <v>36</v>
      </c>
      <c r="X338" s="2" t="s">
        <v>36</v>
      </c>
      <c r="Y338" s="2" t="s">
        <v>36</v>
      </c>
      <c r="Z338" s="2" t="s">
        <v>37</v>
      </c>
      <c r="AA338" s="2"/>
    </row>
    <row r="339" spans="1:27" ht="14.5">
      <c r="A339">
        <v>338</v>
      </c>
      <c r="B339" s="2" t="s">
        <v>2408</v>
      </c>
      <c r="C339" s="2" t="s">
        <v>2409</v>
      </c>
      <c r="D339" s="2"/>
      <c r="E339" s="2" t="s">
        <v>2959</v>
      </c>
      <c r="F339" s="2" t="s">
        <v>2960</v>
      </c>
      <c r="G339" s="2">
        <v>2024</v>
      </c>
      <c r="H339" s="2" t="s">
        <v>2410</v>
      </c>
      <c r="I339" s="2">
        <v>11</v>
      </c>
      <c r="J339" s="2" t="s">
        <v>2411</v>
      </c>
      <c r="K339" s="2"/>
      <c r="L339" s="2"/>
      <c r="M339" s="2"/>
      <c r="N339" s="2">
        <v>14</v>
      </c>
      <c r="O339" s="41" t="s">
        <v>2412</v>
      </c>
      <c r="P339" s="41" t="s">
        <v>2413</v>
      </c>
      <c r="Q339" s="2" t="s">
        <v>157</v>
      </c>
      <c r="R339" s="2" t="s">
        <v>1491</v>
      </c>
      <c r="S339" s="2" t="s">
        <v>36</v>
      </c>
      <c r="T339" s="2" t="s">
        <v>36</v>
      </c>
      <c r="U339" s="2" t="s">
        <v>36</v>
      </c>
      <c r="V339" s="2" t="s">
        <v>36</v>
      </c>
      <c r="W339" s="2" t="s">
        <v>36</v>
      </c>
      <c r="X339" s="2" t="s">
        <v>36</v>
      </c>
      <c r="Y339" s="2" t="s">
        <v>36</v>
      </c>
      <c r="Z339" s="2" t="s">
        <v>37</v>
      </c>
      <c r="AA339" s="2"/>
    </row>
    <row r="340" spans="1:27" ht="14.5">
      <c r="A340">
        <v>339</v>
      </c>
      <c r="B340" s="2" t="s">
        <v>2414</v>
      </c>
      <c r="C340" s="2" t="s">
        <v>2415</v>
      </c>
      <c r="D340" s="2"/>
      <c r="E340" s="2" t="s">
        <v>2416</v>
      </c>
      <c r="F340" s="2" t="s">
        <v>2417</v>
      </c>
      <c r="G340" s="2">
        <v>2025</v>
      </c>
      <c r="H340" s="2"/>
      <c r="I340" s="2"/>
      <c r="J340" s="2"/>
      <c r="K340" s="2"/>
      <c r="L340" s="2"/>
      <c r="M340" s="2"/>
      <c r="N340" s="2"/>
      <c r="O340" s="2"/>
      <c r="P340" s="2" t="s">
        <v>2418</v>
      </c>
      <c r="Q340" s="2" t="s">
        <v>310</v>
      </c>
      <c r="R340" s="2" t="s">
        <v>311</v>
      </c>
      <c r="S340" s="2" t="s">
        <v>36</v>
      </c>
      <c r="T340" s="2" t="s">
        <v>36</v>
      </c>
      <c r="U340" s="2" t="s">
        <v>37</v>
      </c>
      <c r="V340" s="2"/>
      <c r="W340" s="2"/>
      <c r="X340" s="2"/>
      <c r="Y340" s="2"/>
      <c r="Z340" s="2"/>
      <c r="AA340" s="2"/>
    </row>
    <row r="341" spans="1:27" ht="14.5">
      <c r="A341">
        <v>340</v>
      </c>
      <c r="B341" s="2" t="s">
        <v>2419</v>
      </c>
      <c r="C341" s="2" t="s">
        <v>2420</v>
      </c>
      <c r="D341" s="2"/>
      <c r="E341" s="2" t="s">
        <v>2421</v>
      </c>
      <c r="F341" s="2" t="s">
        <v>2422</v>
      </c>
      <c r="G341" s="2">
        <v>2024</v>
      </c>
      <c r="H341" s="2"/>
      <c r="I341" s="2"/>
      <c r="J341" s="2"/>
      <c r="K341" s="2"/>
      <c r="L341" s="2"/>
      <c r="M341" s="2"/>
      <c r="N341" s="2"/>
      <c r="O341" s="2"/>
      <c r="P341" s="2" t="s">
        <v>2423</v>
      </c>
      <c r="Q341" s="2" t="s">
        <v>310</v>
      </c>
      <c r="R341" s="2" t="s">
        <v>311</v>
      </c>
      <c r="S341" s="2" t="s">
        <v>36</v>
      </c>
      <c r="T341" s="2" t="s">
        <v>36</v>
      </c>
      <c r="U341" s="2" t="s">
        <v>37</v>
      </c>
      <c r="V341" s="2"/>
      <c r="W341" s="2"/>
      <c r="X341" s="2"/>
      <c r="Y341" s="2"/>
      <c r="Z341" s="2"/>
      <c r="AA341" s="2"/>
    </row>
    <row r="342" spans="1:27" ht="16.5">
      <c r="A342">
        <v>341</v>
      </c>
      <c r="B342" s="2" t="s">
        <v>2424</v>
      </c>
      <c r="C342" s="46" t="s">
        <v>2425</v>
      </c>
      <c r="D342" s="2"/>
      <c r="E342" s="2" t="s">
        <v>2426</v>
      </c>
      <c r="F342" s="2" t="s">
        <v>2427</v>
      </c>
      <c r="G342" s="2">
        <v>2024</v>
      </c>
      <c r="H342" s="2"/>
      <c r="I342" s="2"/>
      <c r="J342" s="2"/>
      <c r="K342" s="2"/>
      <c r="L342" s="2"/>
      <c r="M342" s="2"/>
      <c r="N342" s="2"/>
      <c r="O342" s="47" t="s">
        <v>2428</v>
      </c>
      <c r="P342" s="2" t="s">
        <v>2429</v>
      </c>
      <c r="Q342" s="2" t="s">
        <v>310</v>
      </c>
      <c r="R342" s="2" t="s">
        <v>2430</v>
      </c>
      <c r="S342" s="2" t="s">
        <v>36</v>
      </c>
      <c r="T342" s="2" t="s">
        <v>36</v>
      </c>
      <c r="U342" s="2" t="s">
        <v>37</v>
      </c>
      <c r="V342" s="2"/>
      <c r="W342" s="2"/>
      <c r="X342" s="2"/>
      <c r="Y342" s="2"/>
      <c r="Z342" s="2"/>
      <c r="AA342" s="2"/>
    </row>
    <row r="343" spans="1:27" ht="15.5">
      <c r="A343">
        <v>342</v>
      </c>
      <c r="B343" s="2" t="s">
        <v>2961</v>
      </c>
      <c r="C343" s="2" t="s">
        <v>2431</v>
      </c>
      <c r="D343" s="2"/>
      <c r="E343" s="2" t="s">
        <v>2432</v>
      </c>
      <c r="F343" s="2" t="s">
        <v>2433</v>
      </c>
      <c r="G343" s="2">
        <v>2024</v>
      </c>
      <c r="H343" s="2"/>
      <c r="I343" s="2"/>
      <c r="J343" s="2"/>
      <c r="K343" s="2"/>
      <c r="L343" s="2"/>
      <c r="M343" s="2"/>
      <c r="N343" s="2"/>
      <c r="O343" s="2"/>
      <c r="P343" s="2" t="s">
        <v>2434</v>
      </c>
      <c r="Q343" s="2" t="s">
        <v>310</v>
      </c>
      <c r="R343" s="2" t="s">
        <v>311</v>
      </c>
      <c r="S343" s="2" t="s">
        <v>36</v>
      </c>
      <c r="T343" s="2" t="s">
        <v>36</v>
      </c>
      <c r="U343" s="2" t="s">
        <v>37</v>
      </c>
      <c r="V343" s="2"/>
      <c r="W343" s="2"/>
      <c r="X343" s="2"/>
      <c r="Y343" s="2"/>
      <c r="Z343" s="2"/>
      <c r="AA343" s="2"/>
    </row>
    <row r="344" spans="1:27" ht="14.5">
      <c r="A344">
        <v>343</v>
      </c>
      <c r="B344" s="2" t="s">
        <v>2435</v>
      </c>
      <c r="C344" s="2" t="s">
        <v>2436</v>
      </c>
      <c r="D344" s="2"/>
      <c r="E344" s="2" t="s">
        <v>2437</v>
      </c>
      <c r="F344" s="48" t="s">
        <v>2438</v>
      </c>
      <c r="G344" s="2">
        <v>2024</v>
      </c>
      <c r="H344" s="2"/>
      <c r="I344" s="2"/>
      <c r="J344" s="2"/>
      <c r="K344" s="2"/>
      <c r="L344" s="2"/>
      <c r="M344" s="2"/>
      <c r="N344" s="2"/>
      <c r="O344" s="2"/>
      <c r="P344" s="2" t="s">
        <v>2439</v>
      </c>
      <c r="Q344" s="2" t="s">
        <v>310</v>
      </c>
      <c r="R344" s="2" t="s">
        <v>311</v>
      </c>
      <c r="S344" s="2" t="s">
        <v>36</v>
      </c>
      <c r="T344" s="2" t="s">
        <v>36</v>
      </c>
      <c r="U344" s="2" t="s">
        <v>37</v>
      </c>
      <c r="V344" s="2"/>
      <c r="W344" s="2"/>
      <c r="X344" s="2"/>
      <c r="Y344" s="2"/>
      <c r="Z344" s="2"/>
      <c r="AA344" s="2"/>
    </row>
    <row r="345" spans="1:27" ht="14.5">
      <c r="A345">
        <v>344</v>
      </c>
      <c r="B345" s="2"/>
      <c r="C345" s="2" t="s">
        <v>2440</v>
      </c>
      <c r="D345" s="2"/>
      <c r="E345" s="2" t="s">
        <v>2441</v>
      </c>
      <c r="F345" s="48" t="s">
        <v>2442</v>
      </c>
      <c r="G345" s="2">
        <v>2024</v>
      </c>
      <c r="H345" s="2"/>
      <c r="I345" s="2"/>
      <c r="J345" s="2"/>
      <c r="K345" s="2"/>
      <c r="L345" s="2"/>
      <c r="M345" s="2"/>
      <c r="N345" s="2"/>
      <c r="O345" s="2"/>
      <c r="P345" s="2" t="s">
        <v>2443</v>
      </c>
      <c r="Q345" s="2" t="s">
        <v>310</v>
      </c>
      <c r="R345" s="2" t="s">
        <v>311</v>
      </c>
      <c r="S345" s="2" t="s">
        <v>36</v>
      </c>
      <c r="T345" s="2" t="s">
        <v>36</v>
      </c>
      <c r="U345" s="2" t="s">
        <v>37</v>
      </c>
      <c r="V345" s="2"/>
      <c r="W345" s="2"/>
      <c r="X345" s="2"/>
      <c r="Y345" s="2"/>
      <c r="Z345" s="2"/>
      <c r="AA345" s="2"/>
    </row>
    <row r="346" spans="1:27" ht="14.5">
      <c r="A346">
        <v>345</v>
      </c>
      <c r="B346" s="2"/>
      <c r="C346" s="2" t="s">
        <v>2444</v>
      </c>
      <c r="D346" s="2"/>
      <c r="E346" s="2" t="s">
        <v>2339</v>
      </c>
      <c r="F346" s="48" t="s">
        <v>2445</v>
      </c>
      <c r="G346" s="2">
        <v>2024</v>
      </c>
      <c r="H346" s="2"/>
      <c r="I346" s="2"/>
      <c r="J346" s="2"/>
      <c r="K346" s="2"/>
      <c r="L346" s="2"/>
      <c r="M346" s="2"/>
      <c r="N346" s="2"/>
      <c r="O346" s="2" t="s">
        <v>2446</v>
      </c>
      <c r="P346" s="2" t="s">
        <v>2447</v>
      </c>
      <c r="Q346" s="2" t="s">
        <v>310</v>
      </c>
      <c r="R346" s="2" t="s">
        <v>311</v>
      </c>
      <c r="S346" s="2" t="s">
        <v>37</v>
      </c>
      <c r="T346" s="2"/>
      <c r="U346" s="2"/>
      <c r="V346" s="2"/>
      <c r="W346" s="2"/>
      <c r="X346" s="2"/>
      <c r="Y346" s="2"/>
      <c r="Z346" s="2"/>
      <c r="AA346" s="2"/>
    </row>
    <row r="347" spans="1:27" ht="14.5">
      <c r="A347">
        <v>346</v>
      </c>
      <c r="B347" s="2"/>
      <c r="C347" s="2" t="s">
        <v>2448</v>
      </c>
      <c r="D347" s="2"/>
      <c r="E347" s="2" t="s">
        <v>2449</v>
      </c>
      <c r="F347" s="48" t="s">
        <v>2450</v>
      </c>
      <c r="G347" s="2">
        <v>2024</v>
      </c>
      <c r="H347" s="2"/>
      <c r="I347" s="2"/>
      <c r="J347" s="2"/>
      <c r="K347" s="2"/>
      <c r="L347" s="2"/>
      <c r="M347" s="2"/>
      <c r="N347" s="2"/>
      <c r="O347" s="2"/>
      <c r="P347" s="2" t="s">
        <v>2451</v>
      </c>
      <c r="Q347" s="2" t="s">
        <v>310</v>
      </c>
      <c r="R347" s="2" t="s">
        <v>311</v>
      </c>
      <c r="S347" s="2" t="s">
        <v>36</v>
      </c>
      <c r="T347" s="2" t="s">
        <v>36</v>
      </c>
      <c r="U347" s="2" t="s">
        <v>37</v>
      </c>
      <c r="V347" s="2"/>
      <c r="W347" s="2"/>
      <c r="X347" s="2"/>
      <c r="Y347" s="2"/>
      <c r="Z347" s="2"/>
      <c r="AA347" s="2"/>
    </row>
    <row r="348" spans="1:27" ht="15.5">
      <c r="A348">
        <v>347</v>
      </c>
      <c r="B348" s="2" t="s">
        <v>2962</v>
      </c>
      <c r="C348" s="2" t="s">
        <v>2452</v>
      </c>
      <c r="D348" s="2"/>
      <c r="E348" s="2" t="s">
        <v>2453</v>
      </c>
      <c r="F348" s="48" t="s">
        <v>2454</v>
      </c>
      <c r="G348" s="2">
        <v>2024</v>
      </c>
      <c r="H348" s="2"/>
      <c r="I348" s="2"/>
      <c r="J348" s="2"/>
      <c r="K348" s="2"/>
      <c r="L348" s="2"/>
      <c r="M348" s="2"/>
      <c r="N348" s="2"/>
      <c r="O348" s="2"/>
      <c r="P348" s="2" t="s">
        <v>2455</v>
      </c>
      <c r="Q348" s="2" t="s">
        <v>310</v>
      </c>
      <c r="R348" s="2" t="s">
        <v>311</v>
      </c>
      <c r="S348" s="2" t="s">
        <v>36</v>
      </c>
      <c r="T348" s="2" t="s">
        <v>36</v>
      </c>
      <c r="U348" s="2" t="s">
        <v>37</v>
      </c>
      <c r="V348" s="2"/>
      <c r="W348" s="2"/>
      <c r="X348" s="2"/>
      <c r="Y348" s="2"/>
      <c r="Z348" s="2"/>
      <c r="AA348" s="2"/>
    </row>
    <row r="349" spans="1:27" ht="15.5">
      <c r="A349">
        <v>348</v>
      </c>
      <c r="B349" s="2" t="s">
        <v>2963</v>
      </c>
      <c r="C349" s="2"/>
      <c r="D349" s="2"/>
      <c r="E349" s="2" t="s">
        <v>2456</v>
      </c>
      <c r="F349" s="2" t="s">
        <v>2457</v>
      </c>
      <c r="G349" s="2">
        <v>2024</v>
      </c>
      <c r="H349" s="2"/>
      <c r="I349" s="2"/>
      <c r="J349" s="2"/>
      <c r="K349" s="2"/>
      <c r="L349" s="2"/>
      <c r="M349" s="2"/>
      <c r="N349" s="2"/>
      <c r="O349" s="2"/>
      <c r="P349" s="2" t="s">
        <v>2458</v>
      </c>
      <c r="Q349" s="2" t="s">
        <v>310</v>
      </c>
      <c r="R349" s="2" t="s">
        <v>2459</v>
      </c>
      <c r="S349" s="2" t="s">
        <v>37</v>
      </c>
      <c r="T349" s="2"/>
      <c r="U349" s="2"/>
      <c r="V349" s="2"/>
      <c r="W349" s="2"/>
      <c r="X349" s="2"/>
      <c r="Y349" s="2"/>
      <c r="Z349" s="2"/>
      <c r="AA349" s="2"/>
    </row>
    <row r="350" spans="1:27" ht="15.5">
      <c r="A350">
        <v>349</v>
      </c>
      <c r="B350" s="49" t="s">
        <v>2460</v>
      </c>
      <c r="C350" s="2" t="s">
        <v>2461</v>
      </c>
      <c r="D350" s="2"/>
      <c r="E350" s="2" t="s">
        <v>2140</v>
      </c>
      <c r="F350" s="2" t="s">
        <v>2462</v>
      </c>
      <c r="G350" s="2">
        <v>2024</v>
      </c>
      <c r="H350" s="2"/>
      <c r="I350" s="2"/>
      <c r="J350" s="2"/>
      <c r="K350" s="2"/>
      <c r="L350" s="2"/>
      <c r="M350" s="2"/>
      <c r="N350" s="2"/>
      <c r="O350" s="2"/>
      <c r="P350" s="2" t="s">
        <v>2463</v>
      </c>
      <c r="Q350" s="2" t="s">
        <v>310</v>
      </c>
      <c r="R350" s="2" t="s">
        <v>311</v>
      </c>
      <c r="S350" s="2" t="s">
        <v>37</v>
      </c>
      <c r="T350" s="2"/>
      <c r="U350" s="2"/>
      <c r="V350" s="2"/>
      <c r="W350" s="2"/>
      <c r="X350" s="2"/>
      <c r="Y350" s="2"/>
      <c r="Z350" s="2"/>
      <c r="AA350" s="2"/>
    </row>
    <row r="351" spans="1:27" ht="14.5">
      <c r="A351">
        <v>350</v>
      </c>
      <c r="B351" s="2"/>
      <c r="C351" s="2" t="s">
        <v>2464</v>
      </c>
      <c r="D351" s="2"/>
      <c r="E351" s="2" t="s">
        <v>2465</v>
      </c>
      <c r="F351" s="48" t="s">
        <v>2466</v>
      </c>
      <c r="G351" s="2">
        <v>2024</v>
      </c>
      <c r="H351" s="2"/>
      <c r="I351" s="2"/>
      <c r="J351" s="2"/>
      <c r="K351" s="2"/>
      <c r="L351" s="2"/>
      <c r="M351" s="2"/>
      <c r="N351" s="2"/>
      <c r="O351" s="2"/>
      <c r="P351" s="2" t="s">
        <v>2467</v>
      </c>
      <c r="Q351" s="2" t="s">
        <v>310</v>
      </c>
      <c r="R351" s="2" t="s">
        <v>311</v>
      </c>
      <c r="S351" s="2" t="s">
        <v>36</v>
      </c>
      <c r="T351" s="2" t="s">
        <v>36</v>
      </c>
      <c r="U351" s="2" t="s">
        <v>37</v>
      </c>
      <c r="V351" s="2"/>
      <c r="W351" s="2"/>
      <c r="X351" s="2"/>
      <c r="Y351" s="2"/>
      <c r="Z351" s="2"/>
      <c r="AA351" s="2"/>
    </row>
    <row r="352" spans="1:27" ht="14.5">
      <c r="A352">
        <v>351</v>
      </c>
      <c r="B352" s="2"/>
      <c r="C352" s="2" t="s">
        <v>2468</v>
      </c>
      <c r="D352" s="2"/>
      <c r="E352" s="2" t="s">
        <v>2469</v>
      </c>
      <c r="F352" s="2" t="s">
        <v>2470</v>
      </c>
      <c r="G352" s="2">
        <v>2025</v>
      </c>
      <c r="H352" s="2"/>
      <c r="I352" s="2"/>
      <c r="J352" s="2"/>
      <c r="K352" s="2"/>
      <c r="L352" s="2"/>
      <c r="M352" s="2"/>
      <c r="N352" s="2"/>
      <c r="O352" s="2"/>
      <c r="P352" s="2" t="s">
        <v>2471</v>
      </c>
      <c r="Q352" s="2" t="s">
        <v>310</v>
      </c>
      <c r="R352" s="2" t="s">
        <v>311</v>
      </c>
      <c r="S352" s="2" t="s">
        <v>36</v>
      </c>
      <c r="T352" s="2" t="s">
        <v>36</v>
      </c>
      <c r="U352" s="2" t="s">
        <v>37</v>
      </c>
      <c r="V352" s="2"/>
      <c r="W352" s="2"/>
      <c r="X352" s="2"/>
      <c r="Y352" s="2"/>
      <c r="Z352" s="2"/>
      <c r="AA352" s="2"/>
    </row>
    <row r="353" spans="1:27" ht="15.5">
      <c r="A353">
        <v>352</v>
      </c>
      <c r="B353" s="2" t="s">
        <v>2964</v>
      </c>
      <c r="C353" s="2"/>
      <c r="D353" s="2"/>
      <c r="E353" s="2" t="s">
        <v>2472</v>
      </c>
      <c r="F353" s="2" t="s">
        <v>2473</v>
      </c>
      <c r="G353" s="2">
        <v>2024</v>
      </c>
      <c r="H353" s="2"/>
      <c r="I353" s="2"/>
      <c r="J353" s="2"/>
      <c r="K353" s="2"/>
      <c r="L353" s="2"/>
      <c r="M353" s="2"/>
      <c r="N353" s="2"/>
      <c r="O353" s="2"/>
      <c r="P353" s="2" t="s">
        <v>2474</v>
      </c>
      <c r="Q353" s="2" t="s">
        <v>310</v>
      </c>
      <c r="R353" s="2" t="s">
        <v>2459</v>
      </c>
      <c r="S353" s="2" t="s">
        <v>36</v>
      </c>
      <c r="T353" s="2" t="s">
        <v>36</v>
      </c>
      <c r="U353" s="2" t="s">
        <v>37</v>
      </c>
      <c r="V353" s="2"/>
      <c r="W353" s="2"/>
      <c r="X353" s="2"/>
      <c r="Y353" s="2"/>
      <c r="Z353" s="2"/>
      <c r="AA353" s="2"/>
    </row>
    <row r="354" spans="1:27" ht="14.5">
      <c r="A354">
        <v>353</v>
      </c>
      <c r="B354" s="2"/>
      <c r="C354" s="2" t="s">
        <v>2475</v>
      </c>
      <c r="D354" s="2"/>
      <c r="E354" s="2" t="s">
        <v>2476</v>
      </c>
      <c r="F354" s="48" t="s">
        <v>2477</v>
      </c>
      <c r="G354" s="2">
        <v>2024</v>
      </c>
      <c r="H354" s="2"/>
      <c r="I354" s="2"/>
      <c r="J354" s="2"/>
      <c r="K354" s="2"/>
      <c r="L354" s="2"/>
      <c r="M354" s="2"/>
      <c r="N354" s="2"/>
      <c r="O354" s="2"/>
      <c r="P354" s="2" t="s">
        <v>2478</v>
      </c>
      <c r="Q354" s="2" t="s">
        <v>310</v>
      </c>
      <c r="R354" s="2" t="s">
        <v>311</v>
      </c>
      <c r="S354" s="2" t="s">
        <v>36</v>
      </c>
      <c r="T354" s="2" t="s">
        <v>36</v>
      </c>
      <c r="U354" s="2" t="s">
        <v>37</v>
      </c>
      <c r="V354" s="2"/>
      <c r="W354" s="2"/>
      <c r="X354" s="2"/>
      <c r="Y354" s="2"/>
      <c r="Z354" s="2"/>
      <c r="AA354" s="2"/>
    </row>
  </sheetData>
  <hyperlinks>
    <hyperlink ref="P276" r:id="rId1" xr:uid="{95F42C80-5E99-4D1B-AD47-FAC36CEA290E}"/>
    <hyperlink ref="P32" r:id="rId2" xr:uid="{67AB7AC8-65BF-4C5F-81C1-42F809D80DA0}"/>
    <hyperlink ref="P277" r:id="rId3" xr:uid="{92532D4F-DDE9-4A57-A9B9-246F792D2C5D}"/>
    <hyperlink ref="P278" r:id="rId4" xr:uid="{629012B3-E986-4B29-90D5-915A124E2256}"/>
    <hyperlink ref="P279" r:id="rId5" xr:uid="{C66ECE1B-1C99-412C-9437-21BC03650BAB}"/>
    <hyperlink ref="P281" r:id="rId6" xr:uid="{2B4E5AFD-2A42-4C89-A0EE-4191F63F5737}"/>
    <hyperlink ref="P292" r:id="rId7" xr:uid="{8471E294-840E-4CCF-B8A5-7AA988513282}"/>
    <hyperlink ref="P298" r:id="rId8" xr:uid="{412FA976-CD88-4BFD-80F1-17BFFF207B0C}"/>
    <hyperlink ref="P300" r:id="rId9" xr:uid="{C80177ED-3975-4C8C-93CB-8755E3867F4E}"/>
    <hyperlink ref="P303" r:id="rId10" xr:uid="{AF960020-44EF-44D6-B2BE-008CD5B9059E}"/>
    <hyperlink ref="P305" r:id="rId11" xr:uid="{6E587EA1-C379-4B8D-B100-EA8B753EC38A}"/>
    <hyperlink ref="P307" r:id="rId12" xr:uid="{695B7C40-435C-4AF9-B210-BC9CDFC9A375}"/>
    <hyperlink ref="P308" r:id="rId13" xr:uid="{68A23165-286F-4831-A50D-6E3DAC67355A}"/>
    <hyperlink ref="P311" r:id="rId14" xr:uid="{24112760-4984-4D86-8CDF-8FDBA0CC0F7C}"/>
    <hyperlink ref="P312" r:id="rId15" xr:uid="{9D09DEAE-F8BF-4385-915E-92A8BDFFE97B}"/>
    <hyperlink ref="P313" r:id="rId16" xr:uid="{41B1DB53-D27D-47EF-B029-AD29B2AF7EB1}"/>
    <hyperlink ref="P314" r:id="rId17" xr:uid="{1B67F5F7-7E64-4E27-A643-3D90EB0015B4}"/>
    <hyperlink ref="P317" r:id="rId18" xr:uid="{78466107-C07F-4086-8A49-621C6E0FF11C}"/>
    <hyperlink ref="P321" r:id="rId19" xr:uid="{D6866256-08EC-403A-9493-68A532B1CBA5}"/>
    <hyperlink ref="P323" r:id="rId20" xr:uid="{79BE2EB4-9246-41FC-BA28-C5960E710E11}"/>
    <hyperlink ref="P325" r:id="rId21" xr:uid="{9B69840B-FDEF-4C9B-AF20-C3C580ADEFFD}"/>
    <hyperlink ref="P326" r:id="rId22" xr:uid="{C327C320-955E-47AA-8391-3DA237AE79F8}"/>
    <hyperlink ref="P327" r:id="rId23" xr:uid="{22BD4F2E-3CE4-43B5-A384-66D6ADAD9205}"/>
    <hyperlink ref="P329" r:id="rId24" xr:uid="{FBD5E1D4-CD95-4DC9-9983-908BB179918A}"/>
    <hyperlink ref="P336" r:id="rId25" xr:uid="{F932BAFD-A253-4F49-87B6-E17BC6B101CF}"/>
    <hyperlink ref="P337" r:id="rId26" xr:uid="{4CC56010-F23D-415A-986D-D08C8C807865}"/>
    <hyperlink ref="O339" r:id="rId27" xr:uid="{8538E26E-5BA2-434B-8FAE-BB32C37C861E}"/>
    <hyperlink ref="P339" r:id="rId28" xr:uid="{163CA41F-0AA6-4B58-856B-0283CE274E5D}"/>
  </hyperlinks>
  <pageMargins left="0.7" right="0.7" top="0.75" bottom="0.75" header="0.3" footer="0.3"/>
  <pageSetup paperSize="9" orientation="portrait" horizontalDpi="0" verticalDpi="0"/>
  <tableParts count="1">
    <tablePart r:id="rId2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6393E-7B09-468A-97F6-63CC127C735F}">
  <sheetPr codeName="Tabelle3">
    <tabColor theme="7" tint="0.79998168889431442"/>
  </sheetPr>
  <dimension ref="A1:AB6"/>
  <sheetViews>
    <sheetView workbookViewId="0">
      <selection activeCell="A6" sqref="A6"/>
    </sheetView>
  </sheetViews>
  <sheetFormatPr defaultColWidth="8.81640625" defaultRowHeight="14.5"/>
  <cols>
    <col min="1" max="1" width="5.36328125" bestFit="1" customWidth="1"/>
    <col min="2" max="2" width="89.6328125" bestFit="1" customWidth="1"/>
    <col min="3" max="3" width="139.81640625" bestFit="1" customWidth="1"/>
    <col min="4" max="4" width="255.6328125" bestFit="1" customWidth="1"/>
    <col min="5" max="5" width="7.36328125" bestFit="1" customWidth="1"/>
    <col min="6" max="6" width="123.6328125" bestFit="1" customWidth="1"/>
    <col min="7" max="7" width="15.1796875" bestFit="1" customWidth="1"/>
    <col min="8" max="8" width="8.1796875" bestFit="1" customWidth="1"/>
    <col min="9" max="9" width="10" bestFit="1" customWidth="1"/>
    <col min="10" max="10" width="12.1796875" bestFit="1" customWidth="1"/>
    <col min="11" max="11" width="11.453125" bestFit="1" customWidth="1"/>
    <col min="12" max="12" width="13.1796875" bestFit="1" customWidth="1"/>
    <col min="13" max="13" width="34.453125" bestFit="1" customWidth="1"/>
    <col min="14" max="14" width="157.453125" bestFit="1" customWidth="1"/>
    <col min="15" max="15" width="17.453125" bestFit="1" customWidth="1"/>
    <col min="16" max="16" width="9.453125" bestFit="1" customWidth="1"/>
    <col min="17" max="28" width="9.453125" customWidth="1"/>
  </cols>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27</v>
      </c>
      <c r="AB1" t="s">
        <v>28</v>
      </c>
    </row>
    <row r="2" spans="1:28" ht="15" thickBot="1">
      <c r="A2">
        <v>354</v>
      </c>
      <c r="B2" t="s">
        <v>2479</v>
      </c>
      <c r="E2" t="s">
        <v>2480</v>
      </c>
      <c r="F2" t="s">
        <v>2481</v>
      </c>
      <c r="G2">
        <v>2022</v>
      </c>
      <c r="H2" t="s">
        <v>691</v>
      </c>
      <c r="I2">
        <v>24</v>
      </c>
      <c r="J2">
        <v>6</v>
      </c>
      <c r="N2">
        <v>21</v>
      </c>
      <c r="O2" t="s">
        <v>2482</v>
      </c>
      <c r="P2" t="s">
        <v>2483</v>
      </c>
      <c r="Q2" t="s">
        <v>157</v>
      </c>
      <c r="R2" t="s">
        <v>35</v>
      </c>
      <c r="S2" t="s">
        <v>36</v>
      </c>
      <c r="T2" t="s">
        <v>36</v>
      </c>
      <c r="U2" s="2" t="s">
        <v>36</v>
      </c>
      <c r="V2" s="2" t="s">
        <v>36</v>
      </c>
      <c r="W2" s="2" t="s">
        <v>36</v>
      </c>
      <c r="X2" s="2" t="s">
        <v>36</v>
      </c>
      <c r="Y2" s="2" t="s">
        <v>36</v>
      </c>
      <c r="Z2" s="2" t="s">
        <v>36</v>
      </c>
      <c r="AA2" t="s">
        <v>37</v>
      </c>
      <c r="AB2" t="s">
        <v>2502</v>
      </c>
    </row>
    <row r="3" spans="1:28" ht="15" thickBot="1">
      <c r="A3">
        <v>355</v>
      </c>
      <c r="B3" s="51" t="s">
        <v>2485</v>
      </c>
      <c r="C3" s="51"/>
      <c r="E3" s="51" t="s">
        <v>2486</v>
      </c>
      <c r="F3" t="s">
        <v>2487</v>
      </c>
      <c r="G3">
        <v>2024</v>
      </c>
      <c r="H3" s="51" t="s">
        <v>41</v>
      </c>
      <c r="I3" t="s">
        <v>2488</v>
      </c>
      <c r="N3">
        <v>16</v>
      </c>
      <c r="O3" s="51" t="s">
        <v>2489</v>
      </c>
      <c r="P3" t="s">
        <v>2490</v>
      </c>
      <c r="Q3" t="s">
        <v>124</v>
      </c>
      <c r="R3" t="s">
        <v>35</v>
      </c>
      <c r="S3" t="s">
        <v>36</v>
      </c>
      <c r="T3" t="s">
        <v>36</v>
      </c>
      <c r="U3" t="s">
        <v>36</v>
      </c>
      <c r="V3" t="s">
        <v>36</v>
      </c>
      <c r="W3" t="s">
        <v>36</v>
      </c>
      <c r="X3" t="s">
        <v>36</v>
      </c>
      <c r="Y3" t="s">
        <v>36</v>
      </c>
      <c r="Z3" t="s">
        <v>36</v>
      </c>
      <c r="AA3" t="s">
        <v>37</v>
      </c>
      <c r="AB3" t="s">
        <v>2503</v>
      </c>
    </row>
    <row r="4" spans="1:28">
      <c r="A4" s="42">
        <v>356</v>
      </c>
      <c r="B4" s="42" t="s">
        <v>2491</v>
      </c>
      <c r="C4" s="42"/>
      <c r="D4" s="42"/>
      <c r="E4" s="42" t="s">
        <v>2492</v>
      </c>
      <c r="F4" s="42" t="s">
        <v>2493</v>
      </c>
      <c r="G4" s="42">
        <v>2024</v>
      </c>
      <c r="H4" s="42" t="s">
        <v>2494</v>
      </c>
      <c r="I4" s="42"/>
      <c r="J4" s="42"/>
      <c r="K4" s="42"/>
      <c r="L4" s="42"/>
      <c r="M4" s="42"/>
      <c r="N4" s="42">
        <v>10</v>
      </c>
      <c r="O4" s="42" t="s">
        <v>2495</v>
      </c>
      <c r="P4" s="42" t="s">
        <v>2496</v>
      </c>
      <c r="Q4" s="42" t="s">
        <v>124</v>
      </c>
      <c r="R4" s="42" t="s">
        <v>35</v>
      </c>
      <c r="S4" s="36" t="s">
        <v>36</v>
      </c>
      <c r="T4" s="42" t="s">
        <v>36</v>
      </c>
      <c r="U4" s="43" t="s">
        <v>36</v>
      </c>
      <c r="V4" s="43" t="s">
        <v>36</v>
      </c>
      <c r="W4" s="43" t="s">
        <v>36</v>
      </c>
      <c r="X4" s="43" t="s">
        <v>36</v>
      </c>
      <c r="Y4" s="43" t="s">
        <v>36</v>
      </c>
      <c r="Z4" s="43" t="s">
        <v>36</v>
      </c>
      <c r="AA4" s="42" t="s">
        <v>36</v>
      </c>
      <c r="AB4" s="36" t="s">
        <v>2503</v>
      </c>
    </row>
    <row r="5" spans="1:28">
      <c r="A5" s="42">
        <v>357</v>
      </c>
      <c r="B5" s="42" t="s">
        <v>326</v>
      </c>
      <c r="C5" s="42"/>
      <c r="D5" s="42"/>
      <c r="E5" s="42" t="s">
        <v>329</v>
      </c>
      <c r="F5" s="42" t="s">
        <v>2497</v>
      </c>
      <c r="G5" s="42">
        <v>2023</v>
      </c>
      <c r="H5" s="42" t="s">
        <v>331</v>
      </c>
      <c r="I5" s="42"/>
      <c r="J5" s="42"/>
      <c r="K5" s="42"/>
      <c r="L5" s="42"/>
      <c r="M5" s="42"/>
      <c r="N5" s="42">
        <v>5</v>
      </c>
      <c r="O5" s="42" t="s">
        <v>332</v>
      </c>
      <c r="P5" s="42" t="s">
        <v>333</v>
      </c>
      <c r="Q5" s="42" t="s">
        <v>124</v>
      </c>
      <c r="R5" s="42" t="s">
        <v>35</v>
      </c>
      <c r="S5" s="36" t="s">
        <v>36</v>
      </c>
      <c r="T5" s="42" t="s">
        <v>36</v>
      </c>
      <c r="U5" s="43" t="s">
        <v>36</v>
      </c>
      <c r="V5" s="43" t="s">
        <v>36</v>
      </c>
      <c r="W5" s="43" t="s">
        <v>36</v>
      </c>
      <c r="X5" s="43" t="s">
        <v>36</v>
      </c>
      <c r="Y5" s="43" t="s">
        <v>36</v>
      </c>
      <c r="Z5" s="43" t="s">
        <v>36</v>
      </c>
      <c r="AA5" s="42" t="s">
        <v>36</v>
      </c>
      <c r="AB5" s="36" t="s">
        <v>2502</v>
      </c>
    </row>
    <row r="6" spans="1:28">
      <c r="B6" s="12"/>
    </row>
  </sheetData>
  <phoneticPr fontId="19"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6A2D0-900A-A747-A0C7-A1F74FD90FFB}">
  <sheetPr codeName="Tabelle4">
    <tabColor theme="7" tint="0.79998168889431442"/>
  </sheetPr>
  <dimension ref="A1:S27"/>
  <sheetViews>
    <sheetView workbookViewId="0">
      <selection activeCell="L51" sqref="L51"/>
    </sheetView>
  </sheetViews>
  <sheetFormatPr defaultColWidth="10.81640625" defaultRowHeight="14.5"/>
  <cols>
    <col min="1" max="2" width="10.81640625" style="50"/>
    <col min="3" max="3" width="17.1796875" style="50" customWidth="1"/>
    <col min="4" max="4" width="12.6328125" style="50" customWidth="1"/>
    <col min="5" max="7" width="10.81640625" style="50"/>
    <col min="8" max="8" width="12.6328125" style="50" customWidth="1"/>
    <col min="9" max="11" width="10.81640625" style="50"/>
    <col min="12" max="12" width="11.1796875" style="50" customWidth="1"/>
    <col min="13" max="13" width="10.81640625" style="50"/>
    <col min="14" max="14" width="12" style="50" customWidth="1"/>
    <col min="15" max="16" width="10.81640625" style="50"/>
    <col min="17" max="17" width="15.6328125" style="50" customWidth="1"/>
    <col min="18" max="18" width="10.81640625" style="50"/>
    <col min="19" max="19" width="12.81640625" style="50" customWidth="1"/>
    <col min="20" max="16384" width="10.81640625" style="50"/>
  </cols>
  <sheetData>
    <row r="1" spans="1:19" s="52" customFormat="1">
      <c r="A1" s="56" t="s">
        <v>0</v>
      </c>
      <c r="B1" s="56" t="s">
        <v>1</v>
      </c>
      <c r="C1" s="56" t="s">
        <v>2</v>
      </c>
      <c r="D1" s="56" t="s">
        <v>3</v>
      </c>
      <c r="E1" s="56" t="s">
        <v>4</v>
      </c>
      <c r="F1" s="56" t="s">
        <v>5</v>
      </c>
      <c r="G1" s="56" t="s">
        <v>6</v>
      </c>
      <c r="H1" s="56" t="s">
        <v>7</v>
      </c>
      <c r="I1" s="56" t="s">
        <v>8</v>
      </c>
      <c r="J1" s="56" t="s">
        <v>9</v>
      </c>
      <c r="K1" s="56" t="s">
        <v>10</v>
      </c>
      <c r="L1" s="56" t="s">
        <v>11</v>
      </c>
      <c r="M1" s="56" t="s">
        <v>12</v>
      </c>
      <c r="N1" s="56" t="s">
        <v>13</v>
      </c>
      <c r="O1" s="56" t="s">
        <v>14</v>
      </c>
      <c r="P1" s="56" t="s">
        <v>15</v>
      </c>
      <c r="Q1" s="56" t="s">
        <v>16</v>
      </c>
      <c r="R1" s="56" t="s">
        <v>17</v>
      </c>
      <c r="S1" s="56" t="s">
        <v>28</v>
      </c>
    </row>
    <row r="2" spans="1:19">
      <c r="A2" s="53">
        <v>36</v>
      </c>
      <c r="B2" s="53" t="s">
        <v>205</v>
      </c>
      <c r="C2" s="53" t="s">
        <v>206</v>
      </c>
      <c r="D2" s="53" t="s">
        <v>207</v>
      </c>
      <c r="E2" s="53" t="s">
        <v>208</v>
      </c>
      <c r="F2" s="53" t="s">
        <v>209</v>
      </c>
      <c r="G2" s="53">
        <v>2023</v>
      </c>
      <c r="H2" s="53" t="s">
        <v>210</v>
      </c>
      <c r="I2" s="53"/>
      <c r="J2" s="53"/>
      <c r="K2" s="53"/>
      <c r="L2" s="53">
        <v>318</v>
      </c>
      <c r="M2" s="53">
        <v>327</v>
      </c>
      <c r="N2" s="53">
        <v>9</v>
      </c>
      <c r="O2" s="53" t="s">
        <v>211</v>
      </c>
      <c r="P2" s="53" t="s">
        <v>212</v>
      </c>
      <c r="Q2" s="53" t="s">
        <v>124</v>
      </c>
      <c r="R2" s="53" t="s">
        <v>35</v>
      </c>
      <c r="S2" s="53"/>
    </row>
    <row r="3" spans="1:19">
      <c r="A3" s="53">
        <v>53</v>
      </c>
      <c r="B3" s="53" t="s">
        <v>334</v>
      </c>
      <c r="C3" s="53" t="s">
        <v>335</v>
      </c>
      <c r="D3" s="53" t="s">
        <v>336</v>
      </c>
      <c r="E3" s="53" t="s">
        <v>337</v>
      </c>
      <c r="F3" s="53" t="s">
        <v>338</v>
      </c>
      <c r="G3" s="53">
        <v>2023</v>
      </c>
      <c r="H3" s="53" t="s">
        <v>79</v>
      </c>
      <c r="I3" s="53" t="s">
        <v>339</v>
      </c>
      <c r="J3" s="53"/>
      <c r="K3" s="53"/>
      <c r="L3" s="53">
        <v>212</v>
      </c>
      <c r="M3" s="53">
        <v>222</v>
      </c>
      <c r="N3" s="53">
        <v>10</v>
      </c>
      <c r="O3" s="53" t="s">
        <v>340</v>
      </c>
      <c r="P3" s="53" t="s">
        <v>341</v>
      </c>
      <c r="Q3" s="53" t="s">
        <v>124</v>
      </c>
      <c r="R3" s="53" t="s">
        <v>35</v>
      </c>
      <c r="S3" s="53"/>
    </row>
    <row r="4" spans="1:19">
      <c r="A4" s="53">
        <v>64</v>
      </c>
      <c r="B4" s="53" t="s">
        <v>412</v>
      </c>
      <c r="C4" s="53" t="s">
        <v>413</v>
      </c>
      <c r="D4" s="53" t="s">
        <v>414</v>
      </c>
      <c r="E4" s="53" t="s">
        <v>415</v>
      </c>
      <c r="F4" s="53" t="s">
        <v>416</v>
      </c>
      <c r="G4" s="53">
        <v>2019</v>
      </c>
      <c r="H4" s="53" t="s">
        <v>67</v>
      </c>
      <c r="I4" s="53">
        <v>2376</v>
      </c>
      <c r="J4" s="53"/>
      <c r="K4" s="53"/>
      <c r="L4" s="53"/>
      <c r="M4" s="53"/>
      <c r="N4" s="53"/>
      <c r="O4" s="53"/>
      <c r="P4" s="53" t="s">
        <v>418</v>
      </c>
      <c r="Q4" s="53" t="s">
        <v>124</v>
      </c>
      <c r="R4" s="53" t="s">
        <v>35</v>
      </c>
      <c r="S4" s="53"/>
    </row>
    <row r="5" spans="1:19">
      <c r="A5" s="53">
        <v>74</v>
      </c>
      <c r="B5" s="53" t="s">
        <v>489</v>
      </c>
      <c r="C5" s="53" t="s">
        <v>490</v>
      </c>
      <c r="D5" s="53" t="s">
        <v>491</v>
      </c>
      <c r="E5" s="53" t="s">
        <v>492</v>
      </c>
      <c r="F5" s="53" t="s">
        <v>493</v>
      </c>
      <c r="G5" s="53">
        <v>2023</v>
      </c>
      <c r="H5" s="53" t="s">
        <v>41</v>
      </c>
      <c r="I5" s="53" t="s">
        <v>494</v>
      </c>
      <c r="J5" s="53"/>
      <c r="K5" s="53"/>
      <c r="L5" s="53">
        <v>383</v>
      </c>
      <c r="M5" s="53">
        <v>396</v>
      </c>
      <c r="N5" s="53">
        <v>13</v>
      </c>
      <c r="O5" s="53" t="s">
        <v>495</v>
      </c>
      <c r="P5" s="53" t="s">
        <v>496</v>
      </c>
      <c r="Q5" s="53" t="s">
        <v>124</v>
      </c>
      <c r="R5" s="53" t="s">
        <v>35</v>
      </c>
      <c r="S5" s="53"/>
    </row>
    <row r="6" spans="1:19">
      <c r="A6" s="53">
        <v>93</v>
      </c>
      <c r="B6" s="53" t="s">
        <v>637</v>
      </c>
      <c r="C6" s="53" t="s">
        <v>638</v>
      </c>
      <c r="D6" s="53" t="s">
        <v>639</v>
      </c>
      <c r="E6" s="53" t="s">
        <v>640</v>
      </c>
      <c r="F6" s="53" t="s">
        <v>641</v>
      </c>
      <c r="G6" s="53">
        <v>2023</v>
      </c>
      <c r="H6" s="53" t="s">
        <v>79</v>
      </c>
      <c r="I6" s="53" t="s">
        <v>339</v>
      </c>
      <c r="J6" s="53"/>
      <c r="K6" s="53"/>
      <c r="L6" s="53">
        <v>335</v>
      </c>
      <c r="M6" s="53">
        <v>340</v>
      </c>
      <c r="N6" s="53">
        <v>5</v>
      </c>
      <c r="O6" s="53" t="s">
        <v>642</v>
      </c>
      <c r="P6" s="53" t="s">
        <v>643</v>
      </c>
      <c r="Q6" s="53" t="s">
        <v>124</v>
      </c>
      <c r="R6" s="53" t="s">
        <v>35</v>
      </c>
      <c r="S6" s="53"/>
    </row>
    <row r="7" spans="1:19">
      <c r="A7" s="53">
        <v>112</v>
      </c>
      <c r="B7" s="53" t="s">
        <v>781</v>
      </c>
      <c r="C7" s="53" t="s">
        <v>782</v>
      </c>
      <c r="D7" s="53" t="s">
        <v>783</v>
      </c>
      <c r="E7" s="53" t="s">
        <v>784</v>
      </c>
      <c r="F7" s="53" t="s">
        <v>785</v>
      </c>
      <c r="G7" s="53">
        <v>2023</v>
      </c>
      <c r="H7" s="53" t="s">
        <v>786</v>
      </c>
      <c r="I7" s="53">
        <v>3</v>
      </c>
      <c r="J7" s="53"/>
      <c r="K7" s="53"/>
      <c r="L7" s="53">
        <v>707</v>
      </c>
      <c r="M7" s="53">
        <v>716</v>
      </c>
      <c r="N7" s="53">
        <v>9</v>
      </c>
      <c r="O7" s="53" t="s">
        <v>787</v>
      </c>
      <c r="P7" s="53" t="s">
        <v>788</v>
      </c>
      <c r="Q7" s="53" t="s">
        <v>124</v>
      </c>
      <c r="R7" s="53" t="s">
        <v>35</v>
      </c>
      <c r="S7" s="53"/>
    </row>
    <row r="8" spans="1:19">
      <c r="A8" s="53">
        <v>130</v>
      </c>
      <c r="B8" s="53" t="s">
        <v>915</v>
      </c>
      <c r="C8" s="53" t="s">
        <v>916</v>
      </c>
      <c r="D8" s="53" t="s">
        <v>917</v>
      </c>
      <c r="E8" s="53" t="s">
        <v>918</v>
      </c>
      <c r="F8" s="53" t="s">
        <v>919</v>
      </c>
      <c r="G8" s="53">
        <v>2021</v>
      </c>
      <c r="H8" s="53" t="s">
        <v>79</v>
      </c>
      <c r="I8" s="53" t="s">
        <v>920</v>
      </c>
      <c r="J8" s="53"/>
      <c r="K8" s="53"/>
      <c r="L8" s="53">
        <v>153</v>
      </c>
      <c r="M8" s="53">
        <v>156</v>
      </c>
      <c r="N8" s="53">
        <v>3</v>
      </c>
      <c r="O8" s="53" t="s">
        <v>921</v>
      </c>
      <c r="P8" s="53" t="s">
        <v>922</v>
      </c>
      <c r="Q8" s="53" t="s">
        <v>124</v>
      </c>
      <c r="R8" s="53" t="s">
        <v>35</v>
      </c>
      <c r="S8" s="53"/>
    </row>
    <row r="9" spans="1:19">
      <c r="A9" s="53">
        <v>140</v>
      </c>
      <c r="B9" s="53" t="s">
        <v>1000</v>
      </c>
      <c r="C9" s="53" t="s">
        <v>1001</v>
      </c>
      <c r="D9" s="53" t="s">
        <v>1002</v>
      </c>
      <c r="E9" s="53" t="s">
        <v>1003</v>
      </c>
      <c r="F9" s="53" t="s">
        <v>1004</v>
      </c>
      <c r="G9" s="53">
        <v>2023</v>
      </c>
      <c r="H9" s="53" t="s">
        <v>1005</v>
      </c>
      <c r="I9" s="53"/>
      <c r="J9" s="53"/>
      <c r="K9" s="53"/>
      <c r="L9" s="53">
        <v>4722</v>
      </c>
      <c r="M9" s="53">
        <v>4730</v>
      </c>
      <c r="N9" s="53">
        <v>8</v>
      </c>
      <c r="O9" s="53" t="s">
        <v>1006</v>
      </c>
      <c r="P9" s="53" t="s">
        <v>1007</v>
      </c>
      <c r="Q9" s="53" t="s">
        <v>124</v>
      </c>
      <c r="R9" s="53" t="s">
        <v>35</v>
      </c>
      <c r="S9" s="53"/>
    </row>
    <row r="10" spans="1:19">
      <c r="A10" s="53">
        <v>145</v>
      </c>
      <c r="B10" s="53" t="s">
        <v>1043</v>
      </c>
      <c r="C10" s="53" t="s">
        <v>1044</v>
      </c>
      <c r="D10" s="53" t="s">
        <v>1045</v>
      </c>
      <c r="E10" s="53" t="s">
        <v>1046</v>
      </c>
      <c r="F10" s="53" t="s">
        <v>1047</v>
      </c>
      <c r="G10" s="53">
        <v>2022</v>
      </c>
      <c r="H10" s="53" t="s">
        <v>1048</v>
      </c>
      <c r="I10" s="53"/>
      <c r="J10" s="53"/>
      <c r="K10" s="53"/>
      <c r="L10" s="53"/>
      <c r="M10" s="53"/>
      <c r="N10" s="53"/>
      <c r="O10" s="53" t="s">
        <v>1049</v>
      </c>
      <c r="P10" s="53" t="s">
        <v>1050</v>
      </c>
      <c r="Q10" s="53" t="s">
        <v>157</v>
      </c>
      <c r="R10" s="53" t="s">
        <v>35</v>
      </c>
      <c r="S10" s="53"/>
    </row>
    <row r="11" spans="1:19">
      <c r="A11" s="53">
        <v>158</v>
      </c>
      <c r="B11" s="53" t="s">
        <v>1136</v>
      </c>
      <c r="C11" s="53" t="s">
        <v>1137</v>
      </c>
      <c r="D11" s="53"/>
      <c r="E11" s="53" t="s">
        <v>1138</v>
      </c>
      <c r="F11" s="53" t="s">
        <v>1139</v>
      </c>
      <c r="G11" s="53">
        <v>2024</v>
      </c>
      <c r="H11" s="53"/>
      <c r="I11" s="53"/>
      <c r="J11" s="53"/>
      <c r="K11" s="53"/>
      <c r="L11" s="53"/>
      <c r="M11" s="53"/>
      <c r="N11" s="53"/>
      <c r="O11" s="53" t="s">
        <v>1140</v>
      </c>
      <c r="P11" s="53" t="s">
        <v>1141</v>
      </c>
      <c r="Q11" s="53" t="s">
        <v>124</v>
      </c>
      <c r="R11" s="53" t="s">
        <v>35</v>
      </c>
      <c r="S11" s="53"/>
    </row>
    <row r="12" spans="1:19">
      <c r="A12" s="53">
        <v>181</v>
      </c>
      <c r="B12" s="53" t="s">
        <v>1313</v>
      </c>
      <c r="C12" s="53" t="s">
        <v>1314</v>
      </c>
      <c r="D12" s="53" t="s">
        <v>1315</v>
      </c>
      <c r="E12" s="53" t="s">
        <v>1316</v>
      </c>
      <c r="F12" s="53" t="s">
        <v>1317</v>
      </c>
      <c r="G12" s="53">
        <v>2023</v>
      </c>
      <c r="H12" s="53" t="s">
        <v>1318</v>
      </c>
      <c r="I12" s="53">
        <v>230</v>
      </c>
      <c r="J12" s="53"/>
      <c r="K12" s="53">
        <v>102994</v>
      </c>
      <c r="L12" s="53"/>
      <c r="M12" s="53"/>
      <c r="N12" s="53"/>
      <c r="O12" s="53" t="s">
        <v>1321</v>
      </c>
      <c r="P12" s="53" t="s">
        <v>1322</v>
      </c>
      <c r="Q12" s="53" t="s">
        <v>157</v>
      </c>
      <c r="R12" s="53" t="s">
        <v>35</v>
      </c>
      <c r="S12" s="53"/>
    </row>
    <row r="13" spans="1:19">
      <c r="A13" s="53">
        <v>213</v>
      </c>
      <c r="B13" s="53" t="s">
        <v>1566</v>
      </c>
      <c r="C13" s="53" t="s">
        <v>1567</v>
      </c>
      <c r="D13" s="53" t="s">
        <v>1568</v>
      </c>
      <c r="E13" s="53" t="s">
        <v>1569</v>
      </c>
      <c r="F13" s="53" t="s">
        <v>1570</v>
      </c>
      <c r="G13" s="53">
        <v>2024</v>
      </c>
      <c r="H13" s="53" t="s">
        <v>112</v>
      </c>
      <c r="I13" s="53" t="s">
        <v>113</v>
      </c>
      <c r="J13" s="53"/>
      <c r="K13" s="53"/>
      <c r="L13" s="53">
        <v>173</v>
      </c>
      <c r="M13" s="53">
        <v>181</v>
      </c>
      <c r="N13" s="53">
        <v>8</v>
      </c>
      <c r="O13" s="53" t="s">
        <v>1571</v>
      </c>
      <c r="P13" s="53" t="s">
        <v>1572</v>
      </c>
      <c r="Q13" s="53" t="s">
        <v>124</v>
      </c>
      <c r="R13" s="53" t="s">
        <v>35</v>
      </c>
      <c r="S13" s="53"/>
    </row>
    <row r="14" spans="1:19">
      <c r="A14" s="53">
        <v>258</v>
      </c>
      <c r="B14" s="53" t="s">
        <v>1901</v>
      </c>
      <c r="C14" s="53" t="s">
        <v>1902</v>
      </c>
      <c r="D14" s="53" t="s">
        <v>1903</v>
      </c>
      <c r="E14" s="53" t="s">
        <v>1904</v>
      </c>
      <c r="F14" s="53" t="s">
        <v>1905</v>
      </c>
      <c r="G14" s="53">
        <v>2023</v>
      </c>
      <c r="H14" s="53" t="s">
        <v>1906</v>
      </c>
      <c r="I14" s="53"/>
      <c r="J14" s="53"/>
      <c r="K14" s="53"/>
      <c r="L14" s="53">
        <v>220</v>
      </c>
      <c r="M14" s="53">
        <v>229</v>
      </c>
      <c r="N14" s="53">
        <v>9</v>
      </c>
      <c r="O14" s="53" t="s">
        <v>1907</v>
      </c>
      <c r="P14" s="53" t="s">
        <v>1908</v>
      </c>
      <c r="Q14" s="53" t="s">
        <v>124</v>
      </c>
      <c r="R14" s="53" t="s">
        <v>35</v>
      </c>
      <c r="S14" s="53"/>
    </row>
    <row r="15" spans="1:19">
      <c r="A15" s="53">
        <v>262</v>
      </c>
      <c r="B15" s="53" t="s">
        <v>1933</v>
      </c>
      <c r="C15" s="53" t="s">
        <v>1934</v>
      </c>
      <c r="D15" s="53"/>
      <c r="E15" s="53" t="s">
        <v>1935</v>
      </c>
      <c r="F15" s="53" t="s">
        <v>1936</v>
      </c>
      <c r="G15" s="53">
        <v>2024</v>
      </c>
      <c r="H15" s="53" t="s">
        <v>2965</v>
      </c>
      <c r="I15" s="53"/>
      <c r="J15" s="53"/>
      <c r="K15" s="53"/>
      <c r="L15" s="53">
        <v>71</v>
      </c>
      <c r="M15" s="53">
        <v>108</v>
      </c>
      <c r="N15" s="53">
        <v>37</v>
      </c>
      <c r="O15" s="53" t="s">
        <v>2966</v>
      </c>
      <c r="P15" s="53" t="s">
        <v>2967</v>
      </c>
      <c r="Q15" s="53" t="s">
        <v>685</v>
      </c>
      <c r="R15" s="53" t="s">
        <v>35</v>
      </c>
      <c r="S15" s="53"/>
    </row>
    <row r="16" spans="1:19">
      <c r="A16" s="53">
        <v>274</v>
      </c>
      <c r="B16" s="53" t="s">
        <v>2016</v>
      </c>
      <c r="C16" s="53" t="s">
        <v>2017</v>
      </c>
      <c r="D16" s="53" t="s">
        <v>2018</v>
      </c>
      <c r="E16" s="53" t="s">
        <v>2019</v>
      </c>
      <c r="F16" s="53" t="s">
        <v>2020</v>
      </c>
      <c r="G16" s="53">
        <v>2023</v>
      </c>
      <c r="H16" s="53" t="s">
        <v>2021</v>
      </c>
      <c r="I16" s="53"/>
      <c r="J16" s="53"/>
      <c r="K16" s="53"/>
      <c r="L16" s="53"/>
      <c r="M16" s="53"/>
      <c r="N16" s="53"/>
      <c r="O16" s="53" t="s">
        <v>2022</v>
      </c>
      <c r="P16" s="53" t="s">
        <v>2023</v>
      </c>
      <c r="Q16" s="53" t="s">
        <v>124</v>
      </c>
      <c r="R16" s="53" t="s">
        <v>35</v>
      </c>
      <c r="S16" s="53"/>
    </row>
    <row r="17" spans="1:19">
      <c r="A17" s="54">
        <v>277</v>
      </c>
      <c r="B17" s="54" t="s">
        <v>2043</v>
      </c>
      <c r="C17" s="54" t="s">
        <v>2044</v>
      </c>
      <c r="D17" s="54" t="s">
        <v>2045</v>
      </c>
      <c r="E17" s="54" t="s">
        <v>2046</v>
      </c>
      <c r="F17" s="54" t="s">
        <v>2047</v>
      </c>
      <c r="G17" s="54">
        <v>2025</v>
      </c>
      <c r="H17" s="54" t="s">
        <v>2048</v>
      </c>
      <c r="I17" s="54" t="s">
        <v>2049</v>
      </c>
      <c r="J17" s="54"/>
      <c r="K17" s="54"/>
      <c r="L17" s="54">
        <v>307</v>
      </c>
      <c r="M17" s="54">
        <v>316</v>
      </c>
      <c r="N17" s="54">
        <v>9</v>
      </c>
      <c r="O17" s="54" t="s">
        <v>2050</v>
      </c>
      <c r="P17" s="55" t="s">
        <v>2051</v>
      </c>
      <c r="Q17" s="54" t="s">
        <v>124</v>
      </c>
      <c r="R17" s="54" t="s">
        <v>35</v>
      </c>
      <c r="S17" s="54"/>
    </row>
    <row r="18" spans="1:19">
      <c r="A18" s="53">
        <v>297</v>
      </c>
      <c r="B18" s="54" t="s">
        <v>2161</v>
      </c>
      <c r="C18" s="54" t="s">
        <v>2162</v>
      </c>
      <c r="D18" s="54" t="s">
        <v>2163</v>
      </c>
      <c r="E18" s="54" t="s">
        <v>2164</v>
      </c>
      <c r="F18" s="54" t="s">
        <v>2498</v>
      </c>
      <c r="G18" s="54">
        <v>2025</v>
      </c>
      <c r="H18" s="54" t="s">
        <v>525</v>
      </c>
      <c r="I18" s="54"/>
      <c r="J18" s="54"/>
      <c r="K18" s="54"/>
      <c r="L18" s="54"/>
      <c r="M18" s="54"/>
      <c r="N18" s="54">
        <v>18</v>
      </c>
      <c r="O18" s="54" t="s">
        <v>2166</v>
      </c>
      <c r="P18" s="55" t="s">
        <v>2167</v>
      </c>
      <c r="Q18" s="54" t="s">
        <v>157</v>
      </c>
      <c r="R18" s="54" t="s">
        <v>35</v>
      </c>
      <c r="S18" s="54"/>
    </row>
    <row r="19" spans="1:19">
      <c r="A19" s="53">
        <v>299</v>
      </c>
      <c r="B19" s="54" t="s">
        <v>2175</v>
      </c>
      <c r="C19" s="54" t="s">
        <v>2176</v>
      </c>
      <c r="D19" s="54" t="s">
        <v>2177</v>
      </c>
      <c r="E19" s="54" t="s">
        <v>2178</v>
      </c>
      <c r="F19" s="54" t="s">
        <v>2179</v>
      </c>
      <c r="G19" s="54">
        <v>2024</v>
      </c>
      <c r="H19" s="54" t="s">
        <v>112</v>
      </c>
      <c r="I19" s="54" t="s">
        <v>2122</v>
      </c>
      <c r="J19" s="54"/>
      <c r="K19" s="54"/>
      <c r="L19" s="54">
        <v>117</v>
      </c>
      <c r="M19" s="54">
        <v>126</v>
      </c>
      <c r="N19" s="54">
        <v>9</v>
      </c>
      <c r="O19" s="54" t="s">
        <v>2180</v>
      </c>
      <c r="P19" s="55" t="s">
        <v>2181</v>
      </c>
      <c r="Q19" s="54" t="s">
        <v>124</v>
      </c>
      <c r="R19" s="54" t="s">
        <v>35</v>
      </c>
      <c r="S19" s="54"/>
    </row>
    <row r="20" spans="1:19">
      <c r="A20" s="53">
        <v>302</v>
      </c>
      <c r="B20" s="54" t="s">
        <v>2194</v>
      </c>
      <c r="C20" s="54" t="s">
        <v>2195</v>
      </c>
      <c r="D20" s="54" t="s">
        <v>2196</v>
      </c>
      <c r="E20" s="54" t="s">
        <v>2197</v>
      </c>
      <c r="F20" s="54" t="s">
        <v>2198</v>
      </c>
      <c r="G20" s="54">
        <v>2024</v>
      </c>
      <c r="H20" s="54" t="s">
        <v>151</v>
      </c>
      <c r="I20" s="54">
        <v>31</v>
      </c>
      <c r="J20" s="54">
        <v>2</v>
      </c>
      <c r="K20" s="54">
        <v>55</v>
      </c>
      <c r="L20" s="54"/>
      <c r="M20" s="54"/>
      <c r="N20" s="54">
        <v>56</v>
      </c>
      <c r="O20" s="54" t="s">
        <v>2199</v>
      </c>
      <c r="P20" s="55" t="s">
        <v>2200</v>
      </c>
      <c r="Q20" s="54" t="s">
        <v>157</v>
      </c>
      <c r="R20" s="54" t="s">
        <v>35</v>
      </c>
      <c r="S20" s="54"/>
    </row>
    <row r="21" spans="1:19">
      <c r="A21" s="53">
        <v>304</v>
      </c>
      <c r="B21" s="54" t="s">
        <v>2203</v>
      </c>
      <c r="C21" s="54" t="s">
        <v>2204</v>
      </c>
      <c r="D21" s="54" t="s">
        <v>2205</v>
      </c>
      <c r="E21" s="54" t="s">
        <v>2206</v>
      </c>
      <c r="F21" s="54" t="s">
        <v>2207</v>
      </c>
      <c r="G21" s="54">
        <v>2024</v>
      </c>
      <c r="H21" s="54" t="s">
        <v>786</v>
      </c>
      <c r="I21" s="54">
        <v>4</v>
      </c>
      <c r="J21" s="54"/>
      <c r="K21" s="54"/>
      <c r="L21" s="54">
        <v>2049</v>
      </c>
      <c r="M21" s="54">
        <v>2058</v>
      </c>
      <c r="N21" s="54">
        <v>9</v>
      </c>
      <c r="O21" s="54" t="s">
        <v>2208</v>
      </c>
      <c r="P21" s="55" t="s">
        <v>2209</v>
      </c>
      <c r="Q21" s="54" t="s">
        <v>124</v>
      </c>
      <c r="R21" s="54" t="s">
        <v>35</v>
      </c>
      <c r="S21" s="54"/>
    </row>
    <row r="22" spans="1:19">
      <c r="A22" s="53">
        <v>307</v>
      </c>
      <c r="B22" s="54" t="s">
        <v>2223</v>
      </c>
      <c r="C22" s="54" t="s">
        <v>2224</v>
      </c>
      <c r="D22" s="54" t="s">
        <v>2225</v>
      </c>
      <c r="E22" s="54" t="s">
        <v>2226</v>
      </c>
      <c r="F22" s="54" t="s">
        <v>2227</v>
      </c>
      <c r="G22" s="54">
        <v>2025</v>
      </c>
      <c r="H22" s="54" t="s">
        <v>2048</v>
      </c>
      <c r="I22" s="54" t="s">
        <v>2049</v>
      </c>
      <c r="J22" s="54"/>
      <c r="K22" s="54"/>
      <c r="L22" s="54">
        <v>27</v>
      </c>
      <c r="M22" s="54">
        <v>42</v>
      </c>
      <c r="N22" s="54">
        <v>15</v>
      </c>
      <c r="O22" s="54" t="s">
        <v>2228</v>
      </c>
      <c r="P22" s="55" t="s">
        <v>2229</v>
      </c>
      <c r="Q22" s="54" t="s">
        <v>124</v>
      </c>
      <c r="R22" s="54" t="s">
        <v>35</v>
      </c>
      <c r="S22" s="54"/>
    </row>
    <row r="23" spans="1:19">
      <c r="A23" s="53">
        <v>325</v>
      </c>
      <c r="B23" s="54" t="s">
        <v>2328</v>
      </c>
      <c r="C23" s="54" t="s">
        <v>2329</v>
      </c>
      <c r="D23" s="54" t="s">
        <v>2330</v>
      </c>
      <c r="E23" s="54" t="s">
        <v>2331</v>
      </c>
      <c r="F23" s="54" t="s">
        <v>2499</v>
      </c>
      <c r="G23" s="54">
        <v>2024</v>
      </c>
      <c r="H23" s="54" t="s">
        <v>2333</v>
      </c>
      <c r="I23" s="54"/>
      <c r="J23" s="54"/>
      <c r="K23" s="54"/>
      <c r="L23" s="54"/>
      <c r="M23" s="54"/>
      <c r="N23" s="54">
        <v>6</v>
      </c>
      <c r="O23" s="54" t="s">
        <v>2334</v>
      </c>
      <c r="P23" s="55" t="s">
        <v>2335</v>
      </c>
      <c r="Q23" s="54" t="s">
        <v>124</v>
      </c>
      <c r="R23" s="54" t="s">
        <v>35</v>
      </c>
      <c r="S23" s="54"/>
    </row>
    <row r="24" spans="1:19">
      <c r="A24" s="53">
        <v>326</v>
      </c>
      <c r="B24" s="54" t="s">
        <v>2336</v>
      </c>
      <c r="C24" s="54" t="s">
        <v>2337</v>
      </c>
      <c r="D24" s="54" t="s">
        <v>2338</v>
      </c>
      <c r="E24" s="54" t="s">
        <v>2339</v>
      </c>
      <c r="F24" s="54" t="s">
        <v>2500</v>
      </c>
      <c r="G24" s="54">
        <v>2024</v>
      </c>
      <c r="H24" s="54" t="s">
        <v>79</v>
      </c>
      <c r="I24" s="54"/>
      <c r="J24" s="54"/>
      <c r="K24" s="54"/>
      <c r="L24" s="54">
        <v>389</v>
      </c>
      <c r="M24" s="54">
        <v>397</v>
      </c>
      <c r="N24" s="54">
        <v>8</v>
      </c>
      <c r="O24" s="54" t="s">
        <v>2341</v>
      </c>
      <c r="P24" s="55" t="s">
        <v>2342</v>
      </c>
      <c r="Q24" s="54" t="s">
        <v>124</v>
      </c>
      <c r="R24" s="54" t="s">
        <v>35</v>
      </c>
      <c r="S24" s="54"/>
    </row>
    <row r="25" spans="1:19">
      <c r="A25" s="53">
        <v>336</v>
      </c>
      <c r="B25" s="54" t="s">
        <v>2396</v>
      </c>
      <c r="C25" s="54" t="s">
        <v>2397</v>
      </c>
      <c r="D25" s="54" t="s">
        <v>2398</v>
      </c>
      <c r="E25" s="54" t="s">
        <v>2399</v>
      </c>
      <c r="F25" s="54" t="s">
        <v>2501</v>
      </c>
      <c r="G25" s="54">
        <v>2024</v>
      </c>
      <c r="H25" s="54" t="s">
        <v>525</v>
      </c>
      <c r="I25" s="54">
        <v>12</v>
      </c>
      <c r="J25" s="54"/>
      <c r="K25" s="54"/>
      <c r="L25" s="54">
        <v>171972</v>
      </c>
      <c r="M25" s="54">
        <v>171992</v>
      </c>
      <c r="N25" s="54">
        <v>20</v>
      </c>
      <c r="O25" s="54" t="s">
        <v>2401</v>
      </c>
      <c r="P25" s="55" t="s">
        <v>2402</v>
      </c>
      <c r="Q25" s="54" t="s">
        <v>157</v>
      </c>
      <c r="R25" s="54" t="s">
        <v>35</v>
      </c>
      <c r="S25" s="54"/>
    </row>
    <row r="26" spans="1:19">
      <c r="A26" s="53">
        <v>356</v>
      </c>
      <c r="B26" s="53" t="s">
        <v>2491</v>
      </c>
      <c r="C26" s="53"/>
      <c r="D26" s="53"/>
      <c r="E26" s="53" t="s">
        <v>2492</v>
      </c>
      <c r="F26" s="53" t="s">
        <v>2493</v>
      </c>
      <c r="G26" s="53">
        <v>2024</v>
      </c>
      <c r="H26" s="53" t="s">
        <v>2494</v>
      </c>
      <c r="I26" s="53"/>
      <c r="J26" s="53"/>
      <c r="K26" s="53"/>
      <c r="L26" s="53"/>
      <c r="M26" s="53"/>
      <c r="N26" s="53">
        <v>10</v>
      </c>
      <c r="O26" s="53" t="s">
        <v>2495</v>
      </c>
      <c r="P26" s="53" t="s">
        <v>2496</v>
      </c>
      <c r="Q26" s="53" t="s">
        <v>124</v>
      </c>
      <c r="R26" s="53" t="s">
        <v>35</v>
      </c>
      <c r="S26" s="53" t="s">
        <v>2484</v>
      </c>
    </row>
    <row r="27" spans="1:19">
      <c r="A27" s="57">
        <v>357</v>
      </c>
      <c r="B27" s="57" t="s">
        <v>326</v>
      </c>
      <c r="C27" s="57"/>
      <c r="D27" s="57"/>
      <c r="E27" s="57" t="s">
        <v>329</v>
      </c>
      <c r="F27" s="57" t="s">
        <v>2497</v>
      </c>
      <c r="G27" s="57">
        <v>2023</v>
      </c>
      <c r="H27" s="57" t="s">
        <v>331</v>
      </c>
      <c r="I27" s="57"/>
      <c r="J27" s="57"/>
      <c r="K27" s="57"/>
      <c r="L27" s="57"/>
      <c r="M27" s="57"/>
      <c r="N27" s="57">
        <v>5</v>
      </c>
      <c r="O27" s="57" t="s">
        <v>332</v>
      </c>
      <c r="P27" s="57" t="s">
        <v>333</v>
      </c>
      <c r="Q27" s="57" t="s">
        <v>124</v>
      </c>
      <c r="R27" s="57" t="s">
        <v>35</v>
      </c>
      <c r="S27" s="57" t="s">
        <v>2484</v>
      </c>
    </row>
  </sheetData>
  <hyperlinks>
    <hyperlink ref="P17" r:id="rId1" xr:uid="{FCB49648-03A9-7041-B4F1-FE2CE2E64895}"/>
    <hyperlink ref="P18" r:id="rId2" xr:uid="{9A867347-7257-8A42-9586-64BB7E85980C}"/>
    <hyperlink ref="P19" r:id="rId3" xr:uid="{348BB783-AD7A-A443-AF00-FE403BBF2ABC}"/>
    <hyperlink ref="P20" r:id="rId4" xr:uid="{582FB28D-6B71-7D4C-A153-37C7E0A96336}"/>
    <hyperlink ref="P21" r:id="rId5" xr:uid="{F9131989-8810-514C-82DD-C0A1458E1EAF}"/>
    <hyperlink ref="P22" r:id="rId6" xr:uid="{7F2302FE-AD78-4D41-942D-4392FC4488FC}"/>
    <hyperlink ref="P23" r:id="rId7" xr:uid="{A2980CC1-F44C-154A-9ECE-19AC5B907B38}"/>
    <hyperlink ref="P24" r:id="rId8" xr:uid="{25B240E3-65BF-0445-A7C9-D2F54494B50F}"/>
    <hyperlink ref="P25" r:id="rId9" xr:uid="{902F18C4-5A2E-5A4A-9A9A-00C25A59C1E9}"/>
  </hyperlinks>
  <pageMargins left="0.7" right="0.7" top="0.78740157499999996" bottom="0.78740157499999996" header="0.3" footer="0.3"/>
  <tableParts count="1">
    <tablePart r:id="rId1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3542A-D1D7-9345-BA5A-097AA78E02B0}">
  <sheetPr codeName="Tabelle5">
    <tabColor theme="8" tint="-0.249977111117893"/>
  </sheetPr>
  <dimension ref="A1:B5"/>
  <sheetViews>
    <sheetView workbookViewId="0">
      <selection activeCell="A2" sqref="A2"/>
    </sheetView>
  </sheetViews>
  <sheetFormatPr defaultColWidth="10.81640625" defaultRowHeight="14.5"/>
  <cols>
    <col min="1" max="1" width="30.6328125" style="138" customWidth="1"/>
    <col min="2" max="2" width="80.6328125" style="138" customWidth="1"/>
  </cols>
  <sheetData>
    <row r="1" spans="1:2" ht="36" customHeight="1">
      <c r="A1" s="147" t="s">
        <v>3517</v>
      </c>
      <c r="B1" s="147"/>
    </row>
    <row r="3" spans="1:2">
      <c r="A3" s="143" t="s">
        <v>3475</v>
      </c>
      <c r="B3" s="143" t="s">
        <v>3474</v>
      </c>
    </row>
    <row r="4" spans="1:2" ht="29">
      <c r="A4" s="139" t="s">
        <v>3494</v>
      </c>
      <c r="B4" s="149" t="s">
        <v>3498</v>
      </c>
    </row>
    <row r="5" spans="1:2" ht="29">
      <c r="A5" s="139" t="s">
        <v>3493</v>
      </c>
      <c r="B5" s="149" t="s">
        <v>3499</v>
      </c>
    </row>
  </sheetData>
  <mergeCells count="1">
    <mergeCell ref="A1:B1"/>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95E65-ECEF-0A40-869C-05373A341A35}">
  <sheetPr codeName="Tabelle6">
    <tabColor theme="8" tint="0.79998168889431442"/>
  </sheetPr>
  <dimension ref="A1:M27"/>
  <sheetViews>
    <sheetView workbookViewId="0">
      <selection activeCell="E42" sqref="E42"/>
    </sheetView>
  </sheetViews>
  <sheetFormatPr defaultColWidth="10.81640625" defaultRowHeight="14.5"/>
  <cols>
    <col min="1" max="1" width="10.81640625" style="50"/>
    <col min="3" max="3" width="34.81640625" customWidth="1"/>
    <col min="4" max="4" width="29.81640625" customWidth="1"/>
    <col min="5" max="5" width="31.36328125" customWidth="1"/>
    <col min="6" max="6" width="22.81640625" customWidth="1"/>
    <col min="7" max="7" width="23.81640625" customWidth="1"/>
    <col min="8" max="8" width="21.453125" customWidth="1"/>
    <col min="9" max="9" width="20.81640625" customWidth="1"/>
    <col min="10" max="10" width="21.1796875" customWidth="1"/>
    <col min="11" max="11" width="16.1796875" customWidth="1"/>
    <col min="12" max="12" width="21.6328125" customWidth="1"/>
    <col min="13" max="13" width="12.81640625" customWidth="1"/>
  </cols>
  <sheetData>
    <row r="1" spans="1:13">
      <c r="A1" s="50" t="s">
        <v>0</v>
      </c>
      <c r="B1" t="s">
        <v>1</v>
      </c>
      <c r="C1" s="58" t="s">
        <v>2905</v>
      </c>
      <c r="D1" s="58" t="s">
        <v>2906</v>
      </c>
      <c r="E1" s="58" t="s">
        <v>2907</v>
      </c>
      <c r="F1" s="58" t="s">
        <v>2908</v>
      </c>
      <c r="G1" s="58" t="s">
        <v>2909</v>
      </c>
      <c r="H1" s="58" t="s">
        <v>2910</v>
      </c>
      <c r="I1" s="58" t="s">
        <v>2911</v>
      </c>
      <c r="J1" s="58" t="s">
        <v>2912</v>
      </c>
      <c r="K1" s="58" t="s">
        <v>2913</v>
      </c>
      <c r="L1" s="58" t="s">
        <v>2914</v>
      </c>
      <c r="M1" s="58" t="s">
        <v>28</v>
      </c>
    </row>
    <row r="2" spans="1:13">
      <c r="A2" s="64">
        <v>262</v>
      </c>
      <c r="B2" s="4" t="s">
        <v>1933</v>
      </c>
      <c r="C2" s="4">
        <v>0</v>
      </c>
      <c r="D2" s="4">
        <v>1</v>
      </c>
      <c r="E2" s="4">
        <v>2</v>
      </c>
      <c r="F2" s="4" t="s">
        <v>2645</v>
      </c>
      <c r="G2" s="4">
        <v>1</v>
      </c>
      <c r="H2" s="4">
        <v>0</v>
      </c>
      <c r="I2"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4</v>
      </c>
      <c r="J2" s="4">
        <f>2*4 + IF(Tabelle7[[#This Row],[QA4: Replication package]] &lt;&gt; "NA", 2, 0) + IF(Tabelle7[[#This Row],[QA5: Results presentation]] &lt;&gt; "NA", 2, 0)</f>
        <v>10</v>
      </c>
      <c r="K2" s="59">
        <f>Tabelle7[[#This Row],[overall reached points]]/Tabelle7[[#This Row],[overall possible points]]</f>
        <v>0.4</v>
      </c>
      <c r="L2" s="4" t="s">
        <v>2968</v>
      </c>
      <c r="M2" s="60"/>
    </row>
    <row r="3" spans="1:13">
      <c r="A3" s="65">
        <v>299</v>
      </c>
      <c r="B3" s="4" t="s">
        <v>2175</v>
      </c>
      <c r="C3" s="4">
        <v>1</v>
      </c>
      <c r="D3" s="4">
        <v>1</v>
      </c>
      <c r="E3" s="4">
        <v>1</v>
      </c>
      <c r="F3" s="4">
        <v>0</v>
      </c>
      <c r="G3" s="4">
        <v>1</v>
      </c>
      <c r="H3" s="4">
        <v>1</v>
      </c>
      <c r="I3"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5</v>
      </c>
      <c r="J3" s="4">
        <f>2*4 + IF(Tabelle7[[#This Row],[QA4: Replication package]] &lt;&gt; "NA", 2, 0) + IF(Tabelle7[[#This Row],[QA5: Results presentation]] &lt;&gt; "NA", 2, 0)</f>
        <v>12</v>
      </c>
      <c r="K3" s="59">
        <f>Tabelle7[[#This Row],[overall reached points]]/Tabelle7[[#This Row],[overall possible points]]</f>
        <v>0.41666666666666669</v>
      </c>
      <c r="L3" s="4" t="s">
        <v>2968</v>
      </c>
      <c r="M3" s="60"/>
    </row>
    <row r="4" spans="1:13">
      <c r="A4" s="64">
        <v>274</v>
      </c>
      <c r="B4" s="4" t="s">
        <v>2016</v>
      </c>
      <c r="C4" s="4">
        <v>1</v>
      </c>
      <c r="D4" s="4">
        <v>1</v>
      </c>
      <c r="E4" s="4">
        <v>1</v>
      </c>
      <c r="F4" s="4">
        <v>1</v>
      </c>
      <c r="G4" s="4">
        <v>1</v>
      </c>
      <c r="H4" s="4">
        <v>0</v>
      </c>
      <c r="I4"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5</v>
      </c>
      <c r="J4" s="4">
        <f>2*4 + IF(Tabelle7[[#This Row],[QA4: Replication package]] &lt;&gt; "NA", 2, 0) + IF(Tabelle7[[#This Row],[QA5: Results presentation]] &lt;&gt; "NA", 2, 0)</f>
        <v>12</v>
      </c>
      <c r="K4" s="59">
        <f>Tabelle7[[#This Row],[overall reached points]]/Tabelle7[[#This Row],[overall possible points]]</f>
        <v>0.41666666666666669</v>
      </c>
      <c r="L4" s="4" t="s">
        <v>2968</v>
      </c>
      <c r="M4" s="60"/>
    </row>
    <row r="5" spans="1:13">
      <c r="A5" s="64">
        <v>53</v>
      </c>
      <c r="B5" s="4" t="s">
        <v>334</v>
      </c>
      <c r="C5" s="4">
        <v>0</v>
      </c>
      <c r="D5" s="4">
        <v>1</v>
      </c>
      <c r="E5" s="4">
        <v>2</v>
      </c>
      <c r="F5" s="4">
        <v>1</v>
      </c>
      <c r="G5" s="4">
        <v>2</v>
      </c>
      <c r="H5" s="4">
        <v>0</v>
      </c>
      <c r="I5"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6</v>
      </c>
      <c r="J5" s="4">
        <f>2*4 + IF(Tabelle7[[#This Row],[QA4: Replication package]] &lt;&gt; "NA", 2, 0) + IF(Tabelle7[[#This Row],[QA5: Results presentation]] &lt;&gt; "NA", 2, 0)</f>
        <v>12</v>
      </c>
      <c r="K5" s="59">
        <f>Tabelle7[[#This Row],[overall reached points]]/Tabelle7[[#This Row],[overall possible points]]</f>
        <v>0.5</v>
      </c>
      <c r="L5" s="4" t="s">
        <v>2968</v>
      </c>
      <c r="M5" s="60"/>
    </row>
    <row r="6" spans="1:13">
      <c r="A6" s="64">
        <v>64</v>
      </c>
      <c r="B6" s="4" t="s">
        <v>412</v>
      </c>
      <c r="C6" s="4">
        <v>1</v>
      </c>
      <c r="D6" s="4">
        <v>2</v>
      </c>
      <c r="E6" s="4">
        <v>1</v>
      </c>
      <c r="F6" s="4" t="s">
        <v>2645</v>
      </c>
      <c r="G6" s="4" t="s">
        <v>2645</v>
      </c>
      <c r="H6" s="4">
        <v>0</v>
      </c>
      <c r="I6"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4</v>
      </c>
      <c r="J6" s="4">
        <f>2*4 + IF(Tabelle7[[#This Row],[QA4: Replication package]] &lt;&gt; "NA", 2, 0) + IF(Tabelle7[[#This Row],[QA5: Results presentation]] &lt;&gt; "NA", 2, 0)</f>
        <v>8</v>
      </c>
      <c r="K6" s="59">
        <f>Tabelle7[[#This Row],[overall reached points]]/Tabelle7[[#This Row],[overall possible points]]</f>
        <v>0.5</v>
      </c>
      <c r="L6" s="4" t="s">
        <v>2968</v>
      </c>
      <c r="M6" s="60"/>
    </row>
    <row r="7" spans="1:13">
      <c r="A7" s="64">
        <v>130</v>
      </c>
      <c r="B7" s="4" t="s">
        <v>915</v>
      </c>
      <c r="C7" s="4">
        <v>2</v>
      </c>
      <c r="D7" s="4">
        <v>2</v>
      </c>
      <c r="E7" s="4">
        <v>1</v>
      </c>
      <c r="F7" s="4">
        <v>0</v>
      </c>
      <c r="G7" s="4">
        <v>1</v>
      </c>
      <c r="H7" s="4">
        <v>0</v>
      </c>
      <c r="I7"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6</v>
      </c>
      <c r="J7" s="4">
        <f>2*4 + IF(Tabelle7[[#This Row],[QA4: Replication package]] &lt;&gt; "NA", 2, 0) + IF(Tabelle7[[#This Row],[QA5: Results presentation]] &lt;&gt; "NA", 2, 0)</f>
        <v>12</v>
      </c>
      <c r="K7" s="59">
        <f>Tabelle7[[#This Row],[overall reached points]]/Tabelle7[[#This Row],[overall possible points]]</f>
        <v>0.5</v>
      </c>
      <c r="L7" s="4" t="s">
        <v>2968</v>
      </c>
      <c r="M7" s="60"/>
    </row>
    <row r="8" spans="1:13">
      <c r="A8" s="64">
        <v>213</v>
      </c>
      <c r="B8" s="4" t="s">
        <v>1566</v>
      </c>
      <c r="C8" s="4">
        <v>0</v>
      </c>
      <c r="D8" s="4">
        <v>1</v>
      </c>
      <c r="E8" s="4">
        <v>1</v>
      </c>
      <c r="F8" s="4">
        <v>1</v>
      </c>
      <c r="G8" s="4">
        <v>1</v>
      </c>
      <c r="H8" s="4">
        <v>2</v>
      </c>
      <c r="I8"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6</v>
      </c>
      <c r="J8" s="4">
        <f>2*4 + IF(Tabelle7[[#This Row],[QA4: Replication package]] &lt;&gt; "NA", 2, 0) + IF(Tabelle7[[#This Row],[QA5: Results presentation]] &lt;&gt; "NA", 2, 0)</f>
        <v>12</v>
      </c>
      <c r="K8" s="59">
        <f>Tabelle7[[#This Row],[overall reached points]]/Tabelle7[[#This Row],[overall possible points]]</f>
        <v>0.5</v>
      </c>
      <c r="L8" s="4" t="s">
        <v>2968</v>
      </c>
      <c r="M8" s="60"/>
    </row>
    <row r="9" spans="1:13">
      <c r="A9" s="65">
        <v>304</v>
      </c>
      <c r="B9" s="4" t="s">
        <v>2203</v>
      </c>
      <c r="C9" s="4">
        <v>0</v>
      </c>
      <c r="D9" s="4">
        <v>1</v>
      </c>
      <c r="E9" s="4">
        <v>1</v>
      </c>
      <c r="F9" s="4">
        <v>1</v>
      </c>
      <c r="G9" s="4">
        <v>1</v>
      </c>
      <c r="H9" s="4">
        <v>2</v>
      </c>
      <c r="I9"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6</v>
      </c>
      <c r="J9" s="4">
        <f>2*4 + IF(Tabelle7[[#This Row],[QA4: Replication package]] &lt;&gt; "NA", 2, 0) + IF(Tabelle7[[#This Row],[QA5: Results presentation]] &lt;&gt; "NA", 2, 0)</f>
        <v>12</v>
      </c>
      <c r="K9" s="59">
        <f>Tabelle7[[#This Row],[overall reached points]]/Tabelle7[[#This Row],[overall possible points]]</f>
        <v>0.5</v>
      </c>
      <c r="L9" s="4" t="s">
        <v>2968</v>
      </c>
      <c r="M9" s="60"/>
    </row>
    <row r="10" spans="1:13">
      <c r="A10" s="64">
        <v>74</v>
      </c>
      <c r="B10" s="4" t="s">
        <v>489</v>
      </c>
      <c r="C10" s="4">
        <v>0</v>
      </c>
      <c r="D10" s="4">
        <v>1</v>
      </c>
      <c r="E10" s="4">
        <v>2</v>
      </c>
      <c r="F10" s="4">
        <v>2</v>
      </c>
      <c r="G10" s="4">
        <v>2</v>
      </c>
      <c r="H10" s="4">
        <v>0</v>
      </c>
      <c r="I10"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7</v>
      </c>
      <c r="J10" s="4">
        <f>2*4 + IF(Tabelle7[[#This Row],[QA4: Replication package]] &lt;&gt; "NA", 2, 0) + IF(Tabelle7[[#This Row],[QA5: Results presentation]] &lt;&gt; "NA", 2, 0)</f>
        <v>12</v>
      </c>
      <c r="K10" s="59">
        <f>Tabelle7[[#This Row],[overall reached points]]/Tabelle7[[#This Row],[overall possible points]]</f>
        <v>0.58333333333333337</v>
      </c>
      <c r="L10" s="4" t="s">
        <v>2968</v>
      </c>
      <c r="M10" s="60"/>
    </row>
    <row r="11" spans="1:13">
      <c r="A11" s="64">
        <v>140</v>
      </c>
      <c r="B11" s="4" t="s">
        <v>1000</v>
      </c>
      <c r="C11" s="4">
        <v>1</v>
      </c>
      <c r="D11" s="4">
        <v>2</v>
      </c>
      <c r="E11" s="4">
        <v>2</v>
      </c>
      <c r="F11" s="4">
        <v>0</v>
      </c>
      <c r="G11" s="4">
        <v>2</v>
      </c>
      <c r="H11" s="4">
        <v>0</v>
      </c>
      <c r="I11"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7</v>
      </c>
      <c r="J11" s="4">
        <f>2*4 + IF(Tabelle7[[#This Row],[QA4: Replication package]] &lt;&gt; "NA", 2, 0) + IF(Tabelle7[[#This Row],[QA5: Results presentation]] &lt;&gt; "NA", 2, 0)</f>
        <v>12</v>
      </c>
      <c r="K11" s="59">
        <f>Tabelle7[[#This Row],[overall reached points]]/Tabelle7[[#This Row],[overall possible points]]</f>
        <v>0.58333333333333337</v>
      </c>
      <c r="L11" s="4" t="s">
        <v>2968</v>
      </c>
      <c r="M11" s="60"/>
    </row>
    <row r="12" spans="1:13">
      <c r="A12" s="64">
        <v>145</v>
      </c>
      <c r="B12" s="4" t="s">
        <v>1043</v>
      </c>
      <c r="C12" s="4">
        <v>1</v>
      </c>
      <c r="D12" s="4">
        <v>2</v>
      </c>
      <c r="E12" s="4">
        <v>1</v>
      </c>
      <c r="F12" s="4">
        <v>1</v>
      </c>
      <c r="G12" s="4">
        <v>2</v>
      </c>
      <c r="H12" s="4">
        <v>0</v>
      </c>
      <c r="I12"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7</v>
      </c>
      <c r="J12" s="4">
        <f>2*4 + IF(Tabelle7[[#This Row],[QA4: Replication package]] &lt;&gt; "NA", 2, 0) + IF(Tabelle7[[#This Row],[QA5: Results presentation]] &lt;&gt; "NA", 2, 0)</f>
        <v>12</v>
      </c>
      <c r="K12" s="59">
        <f>Tabelle7[[#This Row],[overall reached points]]/Tabelle7[[#This Row],[overall possible points]]</f>
        <v>0.58333333333333337</v>
      </c>
      <c r="L12" s="4" t="s">
        <v>2968</v>
      </c>
      <c r="M12" s="60"/>
    </row>
    <row r="13" spans="1:13">
      <c r="A13" s="64">
        <v>158</v>
      </c>
      <c r="B13" s="4" t="s">
        <v>1136</v>
      </c>
      <c r="C13" s="4">
        <v>2</v>
      </c>
      <c r="D13" s="4">
        <v>2</v>
      </c>
      <c r="E13" s="4">
        <v>1</v>
      </c>
      <c r="F13" s="4">
        <v>0</v>
      </c>
      <c r="G13" s="4">
        <v>2</v>
      </c>
      <c r="H13" s="4">
        <v>0</v>
      </c>
      <c r="I13"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7</v>
      </c>
      <c r="J13" s="4">
        <f>2*4 + IF(Tabelle7[[#This Row],[QA4: Replication package]] &lt;&gt; "NA", 2, 0) + IF(Tabelle7[[#This Row],[QA5: Results presentation]] &lt;&gt; "NA", 2, 0)</f>
        <v>12</v>
      </c>
      <c r="K13" s="59">
        <f>Tabelle7[[#This Row],[overall reached points]]/Tabelle7[[#This Row],[overall possible points]]</f>
        <v>0.58333333333333337</v>
      </c>
      <c r="L13" s="4" t="s">
        <v>2968</v>
      </c>
      <c r="M13" s="60"/>
    </row>
    <row r="14" spans="1:13">
      <c r="A14" s="64">
        <v>181</v>
      </c>
      <c r="B14" s="4" t="s">
        <v>1313</v>
      </c>
      <c r="C14" s="4">
        <v>0</v>
      </c>
      <c r="D14" s="4">
        <v>2</v>
      </c>
      <c r="E14" s="4">
        <v>1</v>
      </c>
      <c r="F14" s="4">
        <v>1</v>
      </c>
      <c r="G14" s="4">
        <v>1</v>
      </c>
      <c r="H14" s="4">
        <v>2</v>
      </c>
      <c r="I14"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7</v>
      </c>
      <c r="J14" s="4">
        <f>2*4 + IF(Tabelle7[[#This Row],[QA4: Replication package]] &lt;&gt; "NA", 2, 0) + IF(Tabelle7[[#This Row],[QA5: Results presentation]] &lt;&gt; "NA", 2, 0)</f>
        <v>12</v>
      </c>
      <c r="K14" s="59">
        <f>Tabelle7[[#This Row],[overall reached points]]/Tabelle7[[#This Row],[overall possible points]]</f>
        <v>0.58333333333333337</v>
      </c>
      <c r="L14" s="4" t="s">
        <v>2968</v>
      </c>
      <c r="M14" s="60"/>
    </row>
    <row r="15" spans="1:13">
      <c r="A15" s="65">
        <v>325</v>
      </c>
      <c r="B15" s="4" t="s">
        <v>2328</v>
      </c>
      <c r="C15" s="4">
        <v>1</v>
      </c>
      <c r="D15" s="4">
        <v>1</v>
      </c>
      <c r="E15" s="4">
        <v>2</v>
      </c>
      <c r="F15" s="4">
        <v>1</v>
      </c>
      <c r="G15" s="4">
        <v>2</v>
      </c>
      <c r="H15" s="4">
        <v>0</v>
      </c>
      <c r="I15"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7</v>
      </c>
      <c r="J15" s="4">
        <f>2*4 + IF(Tabelle7[[#This Row],[QA4: Replication package]] &lt;&gt; "NA", 2, 0) + IF(Tabelle7[[#This Row],[QA5: Results presentation]] &lt;&gt; "NA", 2, 0)</f>
        <v>12</v>
      </c>
      <c r="K15" s="59">
        <f>Tabelle7[[#This Row],[overall reached points]]/Tabelle7[[#This Row],[overall possible points]]</f>
        <v>0.58333333333333337</v>
      </c>
      <c r="L15" s="4" t="s">
        <v>2968</v>
      </c>
      <c r="M15" s="60"/>
    </row>
    <row r="16" spans="1:13">
      <c r="A16" s="64">
        <v>357</v>
      </c>
      <c r="B16" s="4" t="s">
        <v>326</v>
      </c>
      <c r="C16" s="61">
        <v>2</v>
      </c>
      <c r="D16" s="4">
        <v>1</v>
      </c>
      <c r="E16" s="4">
        <v>2</v>
      </c>
      <c r="F16" s="4">
        <v>0</v>
      </c>
      <c r="G16" s="4">
        <v>2</v>
      </c>
      <c r="H16" s="4">
        <v>0</v>
      </c>
      <c r="I16"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7</v>
      </c>
      <c r="J16" s="4">
        <f>2*4 + IF(Tabelle7[[#This Row],[QA4: Replication package]] &lt;&gt; "NA", 2, 0) + IF(Tabelle7[[#This Row],[QA5: Results presentation]] &lt;&gt; "NA", 2, 0)</f>
        <v>12</v>
      </c>
      <c r="K16" s="59">
        <f>Tabelle7[[#This Row],[overall reached points]]/Tabelle7[[#This Row],[overall possible points]]</f>
        <v>0.58333333333333337</v>
      </c>
      <c r="L16" s="4" t="s">
        <v>2968</v>
      </c>
      <c r="M16" s="60" t="s">
        <v>2484</v>
      </c>
    </row>
    <row r="17" spans="1:13">
      <c r="A17" s="64">
        <v>112</v>
      </c>
      <c r="B17" s="4" t="s">
        <v>781</v>
      </c>
      <c r="C17" s="4">
        <v>1</v>
      </c>
      <c r="D17" s="4">
        <v>2</v>
      </c>
      <c r="E17" s="4">
        <v>2</v>
      </c>
      <c r="F17" s="4">
        <v>0</v>
      </c>
      <c r="G17" s="4">
        <v>2</v>
      </c>
      <c r="H17" s="4">
        <v>1</v>
      </c>
      <c r="I17"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8</v>
      </c>
      <c r="J17" s="4">
        <f>2*4 + IF(Tabelle7[[#This Row],[QA4: Replication package]] &lt;&gt; "NA", 2, 0) + IF(Tabelle7[[#This Row],[QA5: Results presentation]] &lt;&gt; "NA", 2, 0)</f>
        <v>12</v>
      </c>
      <c r="K17" s="59">
        <f>Tabelle7[[#This Row],[overall reached points]]/Tabelle7[[#This Row],[overall possible points]]</f>
        <v>0.66666666666666663</v>
      </c>
      <c r="L17" s="4" t="s">
        <v>2969</v>
      </c>
      <c r="M17" s="60"/>
    </row>
    <row r="18" spans="1:13">
      <c r="A18" s="64">
        <v>258</v>
      </c>
      <c r="B18" s="4" t="s">
        <v>1901</v>
      </c>
      <c r="C18" s="4">
        <v>2</v>
      </c>
      <c r="D18" s="4">
        <v>1</v>
      </c>
      <c r="E18" s="4">
        <v>2</v>
      </c>
      <c r="F18" s="4">
        <v>1</v>
      </c>
      <c r="G18" s="4">
        <v>2</v>
      </c>
      <c r="H18" s="4">
        <v>0</v>
      </c>
      <c r="I18"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8</v>
      </c>
      <c r="J18" s="4">
        <f>2*4 + IF(Tabelle7[[#This Row],[QA4: Replication package]] &lt;&gt; "NA", 2, 0) + IF(Tabelle7[[#This Row],[QA5: Results presentation]] &lt;&gt; "NA", 2, 0)</f>
        <v>12</v>
      </c>
      <c r="K18" s="59">
        <f>Tabelle7[[#This Row],[overall reached points]]/Tabelle7[[#This Row],[overall possible points]]</f>
        <v>0.66666666666666663</v>
      </c>
      <c r="L18" s="4" t="s">
        <v>2969</v>
      </c>
      <c r="M18" s="60"/>
    </row>
    <row r="19" spans="1:13">
      <c r="A19" s="65">
        <v>297</v>
      </c>
      <c r="B19" s="4" t="s">
        <v>2161</v>
      </c>
      <c r="C19" s="4">
        <v>1</v>
      </c>
      <c r="D19" s="4">
        <v>1</v>
      </c>
      <c r="E19" s="4">
        <v>2</v>
      </c>
      <c r="F19" s="4">
        <v>1</v>
      </c>
      <c r="G19" s="4">
        <v>2</v>
      </c>
      <c r="H19" s="4">
        <v>1</v>
      </c>
      <c r="I19"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8</v>
      </c>
      <c r="J19" s="4">
        <f>2*4 + IF(Tabelle7[[#This Row],[QA4: Replication package]] &lt;&gt; "NA", 2, 0) + IF(Tabelle7[[#This Row],[QA5: Results presentation]] &lt;&gt; "NA", 2, 0)</f>
        <v>12</v>
      </c>
      <c r="K19" s="59">
        <f>Tabelle7[[#This Row],[overall reached points]]/Tabelle7[[#This Row],[overall possible points]]</f>
        <v>0.66666666666666663</v>
      </c>
      <c r="L19" s="4" t="s">
        <v>2969</v>
      </c>
      <c r="M19" s="60"/>
    </row>
    <row r="20" spans="1:13">
      <c r="A20" s="64">
        <v>36</v>
      </c>
      <c r="B20" s="4" t="s">
        <v>205</v>
      </c>
      <c r="C20" s="4">
        <v>2</v>
      </c>
      <c r="D20" s="4">
        <v>2</v>
      </c>
      <c r="E20" s="4">
        <v>1</v>
      </c>
      <c r="F20" s="4">
        <v>2</v>
      </c>
      <c r="G20" s="4">
        <v>2</v>
      </c>
      <c r="H20" s="4">
        <v>0</v>
      </c>
      <c r="I20"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9</v>
      </c>
      <c r="J20" s="4">
        <f>2*4 + IF(Tabelle7[[#This Row],[QA4: Replication package]] &lt;&gt; "NA", 2, 0) + IF(Tabelle7[[#This Row],[QA5: Results presentation]] &lt;&gt; "NA", 2, 0)</f>
        <v>12</v>
      </c>
      <c r="K20" s="59">
        <f>Tabelle7[[#This Row],[overall reached points]]/Tabelle7[[#This Row],[overall possible points]]</f>
        <v>0.75</v>
      </c>
      <c r="L20" s="4" t="s">
        <v>2969</v>
      </c>
      <c r="M20" s="60"/>
    </row>
    <row r="21" spans="1:13">
      <c r="A21" s="65">
        <v>336</v>
      </c>
      <c r="B21" s="4" t="s">
        <v>2396</v>
      </c>
      <c r="C21" s="4">
        <v>1</v>
      </c>
      <c r="D21" s="4">
        <v>2</v>
      </c>
      <c r="E21" s="4">
        <v>2</v>
      </c>
      <c r="F21" s="4">
        <v>1</v>
      </c>
      <c r="G21" s="4">
        <v>2</v>
      </c>
      <c r="H21" s="4">
        <v>1</v>
      </c>
      <c r="I21"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9</v>
      </c>
      <c r="J21" s="4">
        <f>2*4 + IF(Tabelle7[[#This Row],[QA4: Replication package]] &lt;&gt; "NA", 2, 0) + IF(Tabelle7[[#This Row],[QA5: Results presentation]] &lt;&gt; "NA", 2, 0)</f>
        <v>12</v>
      </c>
      <c r="K21" s="59">
        <f>Tabelle7[[#This Row],[overall reached points]]/Tabelle7[[#This Row],[overall possible points]]</f>
        <v>0.75</v>
      </c>
      <c r="L21" s="4" t="s">
        <v>2969</v>
      </c>
      <c r="M21" s="60"/>
    </row>
    <row r="22" spans="1:13">
      <c r="A22" s="64">
        <v>93</v>
      </c>
      <c r="B22" s="4" t="s">
        <v>637</v>
      </c>
      <c r="C22" s="4">
        <v>2</v>
      </c>
      <c r="D22" s="4">
        <v>2</v>
      </c>
      <c r="E22" s="4">
        <v>2</v>
      </c>
      <c r="F22" s="4">
        <v>0</v>
      </c>
      <c r="G22" s="4">
        <v>2</v>
      </c>
      <c r="H22" s="4">
        <v>2</v>
      </c>
      <c r="I22"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10</v>
      </c>
      <c r="J22" s="4">
        <f>2*4 + IF(Tabelle7[[#This Row],[QA4: Replication package]] &lt;&gt; "NA", 2, 0) + IF(Tabelle7[[#This Row],[QA5: Results presentation]] &lt;&gt; "NA", 2, 0)</f>
        <v>12</v>
      </c>
      <c r="K22" s="59">
        <f>Tabelle7[[#This Row],[overall reached points]]/Tabelle7[[#This Row],[overall possible points]]</f>
        <v>0.83333333333333337</v>
      </c>
      <c r="L22" s="4" t="s">
        <v>2969</v>
      </c>
      <c r="M22" s="60"/>
    </row>
    <row r="23" spans="1:13">
      <c r="A23" s="65">
        <v>277</v>
      </c>
      <c r="B23" s="4" t="s">
        <v>2043</v>
      </c>
      <c r="C23" s="4">
        <v>2</v>
      </c>
      <c r="D23" s="4">
        <v>2</v>
      </c>
      <c r="E23" s="4">
        <v>1</v>
      </c>
      <c r="F23" s="4">
        <v>2</v>
      </c>
      <c r="G23" s="4">
        <v>2</v>
      </c>
      <c r="H23" s="4">
        <v>1</v>
      </c>
      <c r="I23"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10</v>
      </c>
      <c r="J23" s="4">
        <f>2*4 + IF(Tabelle7[[#This Row],[QA4: Replication package]] &lt;&gt; "NA", 2, 0) + IF(Tabelle7[[#This Row],[QA5: Results presentation]] &lt;&gt; "NA", 2, 0)</f>
        <v>12</v>
      </c>
      <c r="K23" s="59">
        <f>Tabelle7[[#This Row],[overall reached points]]/Tabelle7[[#This Row],[overall possible points]]</f>
        <v>0.83333333333333337</v>
      </c>
      <c r="L23" s="4" t="s">
        <v>2969</v>
      </c>
      <c r="M23" s="60"/>
    </row>
    <row r="24" spans="1:13">
      <c r="A24" s="65">
        <v>326</v>
      </c>
      <c r="B24" s="4" t="s">
        <v>2336</v>
      </c>
      <c r="C24" s="4">
        <v>2</v>
      </c>
      <c r="D24" s="4">
        <v>2</v>
      </c>
      <c r="E24" s="4">
        <v>2</v>
      </c>
      <c r="F24" s="4">
        <v>1</v>
      </c>
      <c r="G24" s="4">
        <v>2</v>
      </c>
      <c r="H24" s="4">
        <v>2</v>
      </c>
      <c r="I24"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11</v>
      </c>
      <c r="J24" s="4">
        <f>2*4 + IF(Tabelle7[[#This Row],[QA4: Replication package]] &lt;&gt; "NA", 2, 0) + IF(Tabelle7[[#This Row],[QA5: Results presentation]] &lt;&gt; "NA", 2, 0)</f>
        <v>12</v>
      </c>
      <c r="K24" s="59">
        <f>Tabelle7[[#This Row],[overall reached points]]/Tabelle7[[#This Row],[overall possible points]]</f>
        <v>0.91666666666666663</v>
      </c>
      <c r="L24" s="4" t="s">
        <v>2970</v>
      </c>
      <c r="M24" s="60"/>
    </row>
    <row r="25" spans="1:13">
      <c r="A25" s="65">
        <v>302</v>
      </c>
      <c r="B25" s="4" t="s">
        <v>2194</v>
      </c>
      <c r="C25" s="4">
        <v>2</v>
      </c>
      <c r="D25" s="4">
        <v>2</v>
      </c>
      <c r="E25" s="4">
        <v>2</v>
      </c>
      <c r="F25" s="4">
        <v>2</v>
      </c>
      <c r="G25" s="4">
        <v>2</v>
      </c>
      <c r="H25" s="4">
        <v>2</v>
      </c>
      <c r="I25"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12</v>
      </c>
      <c r="J25" s="4">
        <f>2*4 + IF(Tabelle7[[#This Row],[QA4: Replication package]] &lt;&gt; "NA", 2, 0) + IF(Tabelle7[[#This Row],[QA5: Results presentation]] &lt;&gt; "NA", 2, 0)</f>
        <v>12</v>
      </c>
      <c r="K25" s="59">
        <f>Tabelle7[[#This Row],[overall reached points]]/Tabelle7[[#This Row],[overall possible points]]</f>
        <v>1</v>
      </c>
      <c r="L25" s="4" t="s">
        <v>2970</v>
      </c>
      <c r="M25" s="60"/>
    </row>
    <row r="26" spans="1:13">
      <c r="A26" s="65">
        <v>307</v>
      </c>
      <c r="B26" s="4" t="s">
        <v>2223</v>
      </c>
      <c r="C26" s="4">
        <v>2</v>
      </c>
      <c r="D26" s="4">
        <v>2</v>
      </c>
      <c r="E26" s="4">
        <v>2</v>
      </c>
      <c r="F26" s="4">
        <v>2</v>
      </c>
      <c r="G26" s="4">
        <v>2</v>
      </c>
      <c r="H26" s="4">
        <v>2</v>
      </c>
      <c r="I26"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12</v>
      </c>
      <c r="J26" s="4">
        <f>2*4 + IF(Tabelle7[[#This Row],[QA4: Replication package]] &lt;&gt; "NA", 2, 0) + IF(Tabelle7[[#This Row],[QA5: Results presentation]] &lt;&gt; "NA", 2, 0)</f>
        <v>12</v>
      </c>
      <c r="K26" s="59">
        <f>Tabelle7[[#This Row],[overall reached points]]/Tabelle7[[#This Row],[overall possible points]]</f>
        <v>1</v>
      </c>
      <c r="L26" s="4" t="s">
        <v>2970</v>
      </c>
      <c r="M26" s="60"/>
    </row>
    <row r="27" spans="1:13">
      <c r="A27" s="66">
        <v>356</v>
      </c>
      <c r="B27" s="26" t="s">
        <v>2491</v>
      </c>
      <c r="C27" s="62">
        <v>2</v>
      </c>
      <c r="D27" s="26">
        <v>2</v>
      </c>
      <c r="E27" s="26">
        <v>2</v>
      </c>
      <c r="F27" s="26">
        <v>2</v>
      </c>
      <c r="G27" s="26">
        <v>2</v>
      </c>
      <c r="H27" s="26">
        <v>2</v>
      </c>
      <c r="I27" s="4">
        <f>Tabelle7[[#This Row],[QA1: Research Objectives and Questions]]+Tabelle7[[#This Row],[QA2: Study Scope and Constraints]]+Tabelle7[[#This Row],[QA3: Study Design and Methodology]]+IF(Tabelle7[[#This Row],[QA4: Replication package]]&lt;&gt;"NA",Tabelle7[[#This Row],[QA4: Replication package]],0)+IF(Tabelle7[[#This Row],[QA5: Results presentation]]&lt;&gt;"NA",Tabelle7[[#This Row],[QA5: Results presentation]],0)+Tabelle7[[#This Row],[QA6: Threats to Validity]]</f>
        <v>12</v>
      </c>
      <c r="J27" s="4">
        <f>2*4 + IF(Tabelle7[[#This Row],[QA4: Replication package]] &lt;&gt; "NA", 2, 0) + IF(Tabelle7[[#This Row],[QA5: Results presentation]] &lt;&gt; "NA", 2, 0)</f>
        <v>12</v>
      </c>
      <c r="K27" s="59">
        <f>Tabelle7[[#This Row],[overall reached points]]/Tabelle7[[#This Row],[overall possible points]]</f>
        <v>1</v>
      </c>
      <c r="L27" s="26" t="s">
        <v>2970</v>
      </c>
      <c r="M27" s="63" t="s">
        <v>2484</v>
      </c>
    </row>
  </sheetData>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FFB89-3052-FD40-B480-0F5666489EF3}">
  <sheetPr codeName="Tabelle7">
    <tabColor theme="8" tint="0.79998168889431442"/>
  </sheetPr>
  <dimension ref="A1:R27"/>
  <sheetViews>
    <sheetView workbookViewId="0">
      <selection activeCell="A22" sqref="A22"/>
    </sheetView>
  </sheetViews>
  <sheetFormatPr defaultColWidth="10.81640625" defaultRowHeight="14.5"/>
  <cols>
    <col min="6" max="6" width="12.6328125" customWidth="1"/>
    <col min="10" max="10" width="11.1796875" customWidth="1"/>
    <col min="12" max="12" width="12" customWidth="1"/>
    <col min="15" max="15" width="15.6328125" customWidth="1"/>
    <col min="17" max="17" width="17.6328125" customWidth="1"/>
    <col min="18" max="18" width="20.36328125" customWidth="1"/>
  </cols>
  <sheetData>
    <row r="1" spans="1:18">
      <c r="A1" s="67" t="s">
        <v>0</v>
      </c>
      <c r="B1" s="67" t="s">
        <v>1</v>
      </c>
      <c r="C1" s="67" t="s">
        <v>4</v>
      </c>
      <c r="D1" s="67" t="s">
        <v>5</v>
      </c>
      <c r="E1" s="67" t="s">
        <v>6</v>
      </c>
      <c r="F1" s="67" t="s">
        <v>7</v>
      </c>
      <c r="G1" s="67" t="s">
        <v>8</v>
      </c>
      <c r="H1" s="67" t="s">
        <v>9</v>
      </c>
      <c r="I1" s="67" t="s">
        <v>10</v>
      </c>
      <c r="J1" s="67" t="s">
        <v>11</v>
      </c>
      <c r="K1" s="67" t="s">
        <v>12</v>
      </c>
      <c r="L1" s="67" t="s">
        <v>13</v>
      </c>
      <c r="M1" s="67" t="s">
        <v>14</v>
      </c>
      <c r="N1" s="67" t="s">
        <v>15</v>
      </c>
      <c r="O1" s="67" t="s">
        <v>16</v>
      </c>
      <c r="P1" s="67" t="s">
        <v>17</v>
      </c>
      <c r="Q1" s="67" t="s">
        <v>2504</v>
      </c>
      <c r="R1" s="67" t="s">
        <v>2505</v>
      </c>
    </row>
    <row r="2" spans="1:18">
      <c r="A2" s="4">
        <v>68</v>
      </c>
      <c r="B2" s="4" t="s">
        <v>443</v>
      </c>
      <c r="C2" s="4" t="s">
        <v>446</v>
      </c>
      <c r="D2" s="4" t="s">
        <v>447</v>
      </c>
      <c r="E2" s="4">
        <v>2019</v>
      </c>
      <c r="F2" s="4" t="s">
        <v>448</v>
      </c>
      <c r="G2" s="4" t="s">
        <v>29</v>
      </c>
      <c r="H2" s="4" t="s">
        <v>29</v>
      </c>
      <c r="I2" s="4" t="s">
        <v>449</v>
      </c>
      <c r="J2" s="4">
        <v>260</v>
      </c>
      <c r="K2" s="4">
        <v>267</v>
      </c>
      <c r="L2" s="4">
        <v>7</v>
      </c>
      <c r="M2" s="4" t="s">
        <v>450</v>
      </c>
      <c r="N2" s="4" t="s">
        <v>451</v>
      </c>
      <c r="O2" s="4" t="s">
        <v>124</v>
      </c>
      <c r="P2" s="4" t="s">
        <v>35</v>
      </c>
      <c r="Q2" s="61" t="s">
        <v>2511</v>
      </c>
      <c r="R2" s="4" t="s">
        <v>2507</v>
      </c>
    </row>
    <row r="3" spans="1:18">
      <c r="A3" s="4">
        <v>181</v>
      </c>
      <c r="B3" s="4" t="s">
        <v>1313</v>
      </c>
      <c r="C3" s="4" t="s">
        <v>1316</v>
      </c>
      <c r="D3" s="4" t="s">
        <v>1317</v>
      </c>
      <c r="E3" s="4">
        <v>2023</v>
      </c>
      <c r="F3" s="4" t="s">
        <v>1318</v>
      </c>
      <c r="G3" s="4" t="s">
        <v>1319</v>
      </c>
      <c r="H3" s="4" t="s">
        <v>29</v>
      </c>
      <c r="I3" s="4" t="s">
        <v>1320</v>
      </c>
      <c r="J3" s="4"/>
      <c r="K3" s="4"/>
      <c r="L3" s="4"/>
      <c r="M3" s="4" t="s">
        <v>1321</v>
      </c>
      <c r="N3" s="68" t="s">
        <v>1322</v>
      </c>
      <c r="O3" s="4" t="s">
        <v>157</v>
      </c>
      <c r="P3" s="4" t="s">
        <v>35</v>
      </c>
      <c r="Q3" s="61" t="s">
        <v>2511</v>
      </c>
      <c r="R3" s="4" t="s">
        <v>2507</v>
      </c>
    </row>
    <row r="4" spans="1:18">
      <c r="A4" s="69">
        <v>336</v>
      </c>
      <c r="B4" s="61" t="s">
        <v>2396</v>
      </c>
      <c r="C4" s="61" t="s">
        <v>2399</v>
      </c>
      <c r="D4" s="61" t="s">
        <v>2400</v>
      </c>
      <c r="E4" s="61">
        <v>2024</v>
      </c>
      <c r="F4" s="61" t="s">
        <v>525</v>
      </c>
      <c r="G4" s="61">
        <v>12</v>
      </c>
      <c r="H4" s="61"/>
      <c r="I4" s="61"/>
      <c r="J4" s="61">
        <v>171972</v>
      </c>
      <c r="K4" s="61">
        <v>171992</v>
      </c>
      <c r="L4" s="61">
        <v>20</v>
      </c>
      <c r="M4" s="61" t="s">
        <v>2401</v>
      </c>
      <c r="N4" s="70" t="s">
        <v>2402</v>
      </c>
      <c r="O4" s="61" t="s">
        <v>157</v>
      </c>
      <c r="P4" s="61" t="s">
        <v>35</v>
      </c>
      <c r="Q4" s="61" t="s">
        <v>2511</v>
      </c>
      <c r="R4" s="69" t="s">
        <v>2507</v>
      </c>
    </row>
    <row r="5" spans="1:18">
      <c r="A5" s="4">
        <v>145</v>
      </c>
      <c r="B5" s="4" t="s">
        <v>1043</v>
      </c>
      <c r="C5" s="4" t="s">
        <v>1046</v>
      </c>
      <c r="D5" s="4" t="s">
        <v>1047</v>
      </c>
      <c r="E5" s="4">
        <v>2022</v>
      </c>
      <c r="F5" s="4" t="s">
        <v>1048</v>
      </c>
      <c r="G5" s="4" t="s">
        <v>29</v>
      </c>
      <c r="H5" s="4" t="s">
        <v>29</v>
      </c>
      <c r="I5" s="4" t="s">
        <v>29</v>
      </c>
      <c r="J5" s="4"/>
      <c r="K5" s="4"/>
      <c r="L5" s="4"/>
      <c r="M5" s="4" t="s">
        <v>1049</v>
      </c>
      <c r="N5" s="4" t="s">
        <v>1050</v>
      </c>
      <c r="O5" s="4" t="s">
        <v>157</v>
      </c>
      <c r="P5" s="4" t="s">
        <v>35</v>
      </c>
      <c r="Q5" s="61" t="s">
        <v>2511</v>
      </c>
      <c r="R5" s="4" t="s">
        <v>2508</v>
      </c>
    </row>
    <row r="6" spans="1:18">
      <c r="A6" s="4">
        <v>36</v>
      </c>
      <c r="B6" s="4" t="s">
        <v>205</v>
      </c>
      <c r="C6" s="4" t="s">
        <v>208</v>
      </c>
      <c r="D6" s="4" t="s">
        <v>209</v>
      </c>
      <c r="E6" s="4">
        <v>2023</v>
      </c>
      <c r="F6" s="4" t="s">
        <v>210</v>
      </c>
      <c r="G6" s="4" t="s">
        <v>29</v>
      </c>
      <c r="H6" s="4" t="s">
        <v>29</v>
      </c>
      <c r="I6" s="4" t="s">
        <v>29</v>
      </c>
      <c r="J6" s="4">
        <v>318</v>
      </c>
      <c r="K6" s="4">
        <v>327</v>
      </c>
      <c r="L6" s="4">
        <v>9</v>
      </c>
      <c r="M6" s="4" t="s">
        <v>211</v>
      </c>
      <c r="N6" s="4" t="s">
        <v>212</v>
      </c>
      <c r="O6" s="4" t="s">
        <v>124</v>
      </c>
      <c r="P6" s="4" t="s">
        <v>35</v>
      </c>
      <c r="Q6" s="4" t="s">
        <v>2506</v>
      </c>
      <c r="R6" s="4" t="s">
        <v>2507</v>
      </c>
    </row>
    <row r="7" spans="1:18">
      <c r="A7" s="4">
        <v>64</v>
      </c>
      <c r="B7" s="4" t="s">
        <v>412</v>
      </c>
      <c r="C7" s="4" t="s">
        <v>415</v>
      </c>
      <c r="D7" s="4" t="s">
        <v>416</v>
      </c>
      <c r="E7" s="4">
        <v>2019</v>
      </c>
      <c r="F7" s="4" t="s">
        <v>67</v>
      </c>
      <c r="G7" s="4" t="s">
        <v>417</v>
      </c>
      <c r="H7" s="4" t="s">
        <v>29</v>
      </c>
      <c r="I7" s="4" t="s">
        <v>29</v>
      </c>
      <c r="J7" s="4"/>
      <c r="K7" s="4"/>
      <c r="L7" s="4"/>
      <c r="M7" s="4" t="s">
        <v>29</v>
      </c>
      <c r="N7" s="4" t="s">
        <v>418</v>
      </c>
      <c r="O7" s="4" t="s">
        <v>124</v>
      </c>
      <c r="P7" s="4" t="s">
        <v>35</v>
      </c>
      <c r="Q7" s="4" t="s">
        <v>2506</v>
      </c>
      <c r="R7" s="4" t="s">
        <v>2507</v>
      </c>
    </row>
    <row r="8" spans="1:18">
      <c r="A8" s="4">
        <v>93</v>
      </c>
      <c r="B8" s="4" t="s">
        <v>637</v>
      </c>
      <c r="C8" s="4" t="s">
        <v>640</v>
      </c>
      <c r="D8" s="4" t="s">
        <v>641</v>
      </c>
      <c r="E8" s="4">
        <v>2023</v>
      </c>
      <c r="F8" s="4" t="s">
        <v>79</v>
      </c>
      <c r="G8" s="4" t="s">
        <v>339</v>
      </c>
      <c r="H8" s="4" t="s">
        <v>29</v>
      </c>
      <c r="I8" s="4" t="s">
        <v>29</v>
      </c>
      <c r="J8" s="4">
        <v>335</v>
      </c>
      <c r="K8" s="4">
        <v>340</v>
      </c>
      <c r="L8" s="4">
        <v>5</v>
      </c>
      <c r="M8" s="4" t="s">
        <v>642</v>
      </c>
      <c r="N8" s="4" t="s">
        <v>643</v>
      </c>
      <c r="O8" s="4" t="s">
        <v>124</v>
      </c>
      <c r="P8" s="4" t="s">
        <v>35</v>
      </c>
      <c r="Q8" s="4" t="s">
        <v>2506</v>
      </c>
      <c r="R8" s="4" t="s">
        <v>2507</v>
      </c>
    </row>
    <row r="9" spans="1:18">
      <c r="A9" s="4">
        <v>130</v>
      </c>
      <c r="B9" s="4" t="s">
        <v>915</v>
      </c>
      <c r="C9" s="4" t="s">
        <v>918</v>
      </c>
      <c r="D9" s="4" t="s">
        <v>919</v>
      </c>
      <c r="E9" s="4">
        <v>2021</v>
      </c>
      <c r="F9" s="4" t="s">
        <v>79</v>
      </c>
      <c r="G9" s="4" t="s">
        <v>920</v>
      </c>
      <c r="H9" s="4" t="s">
        <v>29</v>
      </c>
      <c r="I9" s="4" t="s">
        <v>29</v>
      </c>
      <c r="J9" s="4">
        <v>153</v>
      </c>
      <c r="K9" s="4">
        <v>156</v>
      </c>
      <c r="L9" s="4">
        <v>3</v>
      </c>
      <c r="M9" s="4" t="s">
        <v>921</v>
      </c>
      <c r="N9" s="68" t="s">
        <v>922</v>
      </c>
      <c r="O9" s="4" t="s">
        <v>124</v>
      </c>
      <c r="P9" s="4" t="s">
        <v>35</v>
      </c>
      <c r="Q9" s="4" t="s">
        <v>2506</v>
      </c>
      <c r="R9" s="4" t="s">
        <v>2507</v>
      </c>
    </row>
    <row r="10" spans="1:18">
      <c r="A10" s="4">
        <v>140</v>
      </c>
      <c r="B10" s="4" t="s">
        <v>1000</v>
      </c>
      <c r="C10" s="4" t="s">
        <v>1003</v>
      </c>
      <c r="D10" s="4" t="s">
        <v>1004</v>
      </c>
      <c r="E10" s="4">
        <v>2023</v>
      </c>
      <c r="F10" s="4" t="s">
        <v>1005</v>
      </c>
      <c r="G10" s="4" t="s">
        <v>29</v>
      </c>
      <c r="H10" s="4" t="s">
        <v>29</v>
      </c>
      <c r="I10" s="4" t="s">
        <v>29</v>
      </c>
      <c r="J10" s="4">
        <v>4722</v>
      </c>
      <c r="K10" s="4">
        <v>4730</v>
      </c>
      <c r="L10" s="4">
        <v>8</v>
      </c>
      <c r="M10" s="4" t="s">
        <v>1006</v>
      </c>
      <c r="N10" s="68" t="s">
        <v>1007</v>
      </c>
      <c r="O10" s="4" t="s">
        <v>124</v>
      </c>
      <c r="P10" s="4" t="s">
        <v>35</v>
      </c>
      <c r="Q10" s="4" t="s">
        <v>2506</v>
      </c>
      <c r="R10" s="4" t="s">
        <v>2507</v>
      </c>
    </row>
    <row r="11" spans="1:18">
      <c r="A11" s="4">
        <v>158</v>
      </c>
      <c r="B11" s="4" t="s">
        <v>1136</v>
      </c>
      <c r="C11" s="4" t="s">
        <v>1138</v>
      </c>
      <c r="D11" s="4" t="s">
        <v>1139</v>
      </c>
      <c r="E11" s="4">
        <v>2024</v>
      </c>
      <c r="F11" s="4"/>
      <c r="G11" s="4"/>
      <c r="H11" s="4"/>
      <c r="I11" s="4"/>
      <c r="J11" s="4"/>
      <c r="K11" s="4"/>
      <c r="L11" s="4"/>
      <c r="M11" s="4" t="s">
        <v>1140</v>
      </c>
      <c r="N11" s="4" t="s">
        <v>1141</v>
      </c>
      <c r="O11" s="4" t="s">
        <v>310</v>
      </c>
      <c r="P11" s="4" t="s">
        <v>311</v>
      </c>
      <c r="Q11" s="4" t="s">
        <v>2506</v>
      </c>
      <c r="R11" s="4" t="s">
        <v>2507</v>
      </c>
    </row>
    <row r="12" spans="1:18">
      <c r="A12" s="4">
        <v>213</v>
      </c>
      <c r="B12" s="4" t="s">
        <v>1566</v>
      </c>
      <c r="C12" s="4" t="s">
        <v>1569</v>
      </c>
      <c r="D12" s="4" t="s">
        <v>1570</v>
      </c>
      <c r="E12" s="4">
        <v>2024</v>
      </c>
      <c r="F12" s="4" t="s">
        <v>112</v>
      </c>
      <c r="G12" s="4" t="s">
        <v>113</v>
      </c>
      <c r="H12" s="4" t="s">
        <v>29</v>
      </c>
      <c r="I12" s="4" t="s">
        <v>29</v>
      </c>
      <c r="J12" s="4">
        <v>173</v>
      </c>
      <c r="K12" s="4">
        <v>181</v>
      </c>
      <c r="L12" s="4">
        <v>8</v>
      </c>
      <c r="M12" s="4" t="s">
        <v>1571</v>
      </c>
      <c r="N12" s="4" t="s">
        <v>1572</v>
      </c>
      <c r="O12" s="4" t="s">
        <v>124</v>
      </c>
      <c r="P12" s="4" t="s">
        <v>35</v>
      </c>
      <c r="Q12" s="4" t="s">
        <v>2506</v>
      </c>
      <c r="R12" s="4" t="s">
        <v>2507</v>
      </c>
    </row>
    <row r="13" spans="1:18">
      <c r="A13" s="4">
        <v>258</v>
      </c>
      <c r="B13" s="4" t="s">
        <v>1901</v>
      </c>
      <c r="C13" s="4" t="s">
        <v>1904</v>
      </c>
      <c r="D13" s="4" t="s">
        <v>1905</v>
      </c>
      <c r="E13" s="4">
        <v>2023</v>
      </c>
      <c r="F13" s="4" t="s">
        <v>1906</v>
      </c>
      <c r="G13" s="4" t="s">
        <v>29</v>
      </c>
      <c r="H13" s="4" t="s">
        <v>29</v>
      </c>
      <c r="I13" s="4" t="s">
        <v>29</v>
      </c>
      <c r="J13" s="4">
        <v>220</v>
      </c>
      <c r="K13" s="4">
        <v>229</v>
      </c>
      <c r="L13" s="4">
        <v>9</v>
      </c>
      <c r="M13" s="4" t="s">
        <v>1907</v>
      </c>
      <c r="N13" s="4" t="s">
        <v>1908</v>
      </c>
      <c r="O13" s="4" t="s">
        <v>124</v>
      </c>
      <c r="P13" s="4" t="s">
        <v>35</v>
      </c>
      <c r="Q13" s="4" t="s">
        <v>2506</v>
      </c>
      <c r="R13" s="4" t="s">
        <v>2507</v>
      </c>
    </row>
    <row r="14" spans="1:18">
      <c r="A14" s="4">
        <v>274</v>
      </c>
      <c r="B14" s="4" t="s">
        <v>2016</v>
      </c>
      <c r="C14" s="4" t="s">
        <v>2019</v>
      </c>
      <c r="D14" s="4" t="s">
        <v>2020</v>
      </c>
      <c r="E14" s="4">
        <v>2023</v>
      </c>
      <c r="F14" s="4" t="s">
        <v>2021</v>
      </c>
      <c r="G14" s="4" t="s">
        <v>29</v>
      </c>
      <c r="H14" s="4" t="s">
        <v>29</v>
      </c>
      <c r="I14" s="4" t="s">
        <v>29</v>
      </c>
      <c r="J14" s="4"/>
      <c r="K14" s="4"/>
      <c r="L14" s="4"/>
      <c r="M14" s="4" t="s">
        <v>2022</v>
      </c>
      <c r="N14" s="4" t="s">
        <v>2023</v>
      </c>
      <c r="O14" s="4" t="s">
        <v>124</v>
      </c>
      <c r="P14" s="4" t="s">
        <v>35</v>
      </c>
      <c r="Q14" s="4" t="s">
        <v>2506</v>
      </c>
      <c r="R14" s="4" t="s">
        <v>2507</v>
      </c>
    </row>
    <row r="15" spans="1:18">
      <c r="A15" s="69">
        <v>277</v>
      </c>
      <c r="B15" s="61" t="s">
        <v>2043</v>
      </c>
      <c r="C15" s="61" t="s">
        <v>2046</v>
      </c>
      <c r="D15" s="61" t="s">
        <v>2047</v>
      </c>
      <c r="E15" s="61">
        <v>2025</v>
      </c>
      <c r="F15" s="61" t="s">
        <v>2048</v>
      </c>
      <c r="G15" s="61" t="s">
        <v>2049</v>
      </c>
      <c r="H15" s="61"/>
      <c r="I15" s="61"/>
      <c r="J15" s="61">
        <v>307</v>
      </c>
      <c r="K15" s="61">
        <v>316</v>
      </c>
      <c r="L15" s="61">
        <v>9</v>
      </c>
      <c r="M15" s="61" t="s">
        <v>2050</v>
      </c>
      <c r="N15" s="70" t="s">
        <v>2051</v>
      </c>
      <c r="O15" s="61" t="s">
        <v>124</v>
      </c>
      <c r="P15" s="61" t="s">
        <v>35</v>
      </c>
      <c r="Q15" s="61" t="s">
        <v>2506</v>
      </c>
      <c r="R15" s="69" t="s">
        <v>2507</v>
      </c>
    </row>
    <row r="16" spans="1:18">
      <c r="A16" s="69">
        <v>297</v>
      </c>
      <c r="B16" s="61" t="s">
        <v>2161</v>
      </c>
      <c r="C16" s="61" t="s">
        <v>2164</v>
      </c>
      <c r="D16" s="61" t="s">
        <v>2165</v>
      </c>
      <c r="E16" s="61">
        <v>2025</v>
      </c>
      <c r="F16" s="61" t="s">
        <v>525</v>
      </c>
      <c r="G16" s="61"/>
      <c r="H16" s="61"/>
      <c r="I16" s="61"/>
      <c r="J16" s="61"/>
      <c r="K16" s="61"/>
      <c r="L16" s="61">
        <v>18</v>
      </c>
      <c r="M16" s="61" t="s">
        <v>2166</v>
      </c>
      <c r="N16" s="70" t="s">
        <v>2167</v>
      </c>
      <c r="O16" s="61" t="s">
        <v>157</v>
      </c>
      <c r="P16" s="61" t="s">
        <v>35</v>
      </c>
      <c r="Q16" s="61" t="s">
        <v>2506</v>
      </c>
      <c r="R16" s="69" t="s">
        <v>2507</v>
      </c>
    </row>
    <row r="17" spans="1:18">
      <c r="A17" s="69">
        <v>302</v>
      </c>
      <c r="B17" s="61" t="s">
        <v>2194</v>
      </c>
      <c r="C17" s="61" t="s">
        <v>2197</v>
      </c>
      <c r="D17" s="61" t="s">
        <v>2198</v>
      </c>
      <c r="E17" s="61">
        <v>2024</v>
      </c>
      <c r="F17" s="61" t="s">
        <v>151</v>
      </c>
      <c r="G17" s="61">
        <v>31</v>
      </c>
      <c r="H17" s="61">
        <v>2</v>
      </c>
      <c r="I17" s="61">
        <v>55</v>
      </c>
      <c r="J17" s="61"/>
      <c r="K17" s="61"/>
      <c r="L17" s="61">
        <v>56</v>
      </c>
      <c r="M17" s="61" t="s">
        <v>2199</v>
      </c>
      <c r="N17" s="70" t="s">
        <v>2200</v>
      </c>
      <c r="O17" s="61" t="s">
        <v>157</v>
      </c>
      <c r="P17" s="61" t="s">
        <v>35</v>
      </c>
      <c r="Q17" s="61" t="s">
        <v>2506</v>
      </c>
      <c r="R17" s="69" t="s">
        <v>2507</v>
      </c>
    </row>
    <row r="18" spans="1:18">
      <c r="A18" s="69">
        <v>307</v>
      </c>
      <c r="B18" s="61" t="s">
        <v>2223</v>
      </c>
      <c r="C18" s="61" t="s">
        <v>2226</v>
      </c>
      <c r="D18" s="61" t="s">
        <v>2227</v>
      </c>
      <c r="E18" s="61">
        <v>2025</v>
      </c>
      <c r="F18" s="61" t="s">
        <v>2048</v>
      </c>
      <c r="G18" s="61" t="s">
        <v>2049</v>
      </c>
      <c r="H18" s="61"/>
      <c r="I18" s="61"/>
      <c r="J18" s="61">
        <v>27</v>
      </c>
      <c r="K18" s="61">
        <v>42</v>
      </c>
      <c r="L18" s="61">
        <v>15</v>
      </c>
      <c r="M18" s="61" t="s">
        <v>2228</v>
      </c>
      <c r="N18" s="70" t="s">
        <v>2229</v>
      </c>
      <c r="O18" s="61" t="s">
        <v>124</v>
      </c>
      <c r="P18" s="61" t="s">
        <v>35</v>
      </c>
      <c r="Q18" s="61" t="s">
        <v>2506</v>
      </c>
      <c r="R18" s="69" t="s">
        <v>2507</v>
      </c>
    </row>
    <row r="19" spans="1:18">
      <c r="A19" s="69">
        <v>325</v>
      </c>
      <c r="B19" s="61" t="s">
        <v>2328</v>
      </c>
      <c r="C19" s="61" t="s">
        <v>2331</v>
      </c>
      <c r="D19" s="61" t="s">
        <v>2332</v>
      </c>
      <c r="E19" s="61">
        <v>2024</v>
      </c>
      <c r="F19" s="61" t="s">
        <v>2333</v>
      </c>
      <c r="G19" s="61"/>
      <c r="H19" s="61"/>
      <c r="I19" s="61"/>
      <c r="J19" s="61"/>
      <c r="K19" s="61"/>
      <c r="L19" s="61">
        <v>6</v>
      </c>
      <c r="M19" s="61" t="s">
        <v>2334</v>
      </c>
      <c r="N19" s="70" t="s">
        <v>2335</v>
      </c>
      <c r="O19" s="61" t="s">
        <v>124</v>
      </c>
      <c r="P19" s="61" t="s">
        <v>35</v>
      </c>
      <c r="Q19" s="61" t="s">
        <v>2506</v>
      </c>
      <c r="R19" s="69" t="s">
        <v>2507</v>
      </c>
    </row>
    <row r="20" spans="1:18">
      <c r="A20" s="4">
        <v>356</v>
      </c>
      <c r="B20" s="4" t="s">
        <v>2491</v>
      </c>
      <c r="C20" s="4" t="s">
        <v>2492</v>
      </c>
      <c r="D20" s="4" t="s">
        <v>2493</v>
      </c>
      <c r="E20" s="4">
        <v>2024</v>
      </c>
      <c r="F20" s="4" t="s">
        <v>2494</v>
      </c>
      <c r="G20" s="4"/>
      <c r="H20" s="4"/>
      <c r="I20" s="4"/>
      <c r="J20" s="4"/>
      <c r="K20" s="4"/>
      <c r="L20" s="4">
        <v>10</v>
      </c>
      <c r="M20" s="4" t="s">
        <v>2495</v>
      </c>
      <c r="N20" s="4" t="s">
        <v>2496</v>
      </c>
      <c r="O20" s="4" t="s">
        <v>124</v>
      </c>
      <c r="P20" s="4" t="s">
        <v>35</v>
      </c>
      <c r="Q20" s="4" t="s">
        <v>2506</v>
      </c>
      <c r="R20" s="4" t="s">
        <v>2507</v>
      </c>
    </row>
    <row r="21" spans="1:18">
      <c r="A21" s="4">
        <v>357</v>
      </c>
      <c r="B21" s="4" t="s">
        <v>326</v>
      </c>
      <c r="C21" s="4" t="s">
        <v>329</v>
      </c>
      <c r="D21" s="4" t="s">
        <v>2497</v>
      </c>
      <c r="E21" s="4">
        <v>2023</v>
      </c>
      <c r="F21" s="4" t="s">
        <v>331</v>
      </c>
      <c r="G21" s="4"/>
      <c r="H21" s="4"/>
      <c r="I21" s="4"/>
      <c r="J21" s="4"/>
      <c r="K21" s="4"/>
      <c r="L21" s="4">
        <v>5</v>
      </c>
      <c r="M21" s="4" t="s">
        <v>332</v>
      </c>
      <c r="N21" s="4" t="s">
        <v>333</v>
      </c>
      <c r="O21" s="4" t="s">
        <v>124</v>
      </c>
      <c r="P21" s="4" t="s">
        <v>35</v>
      </c>
      <c r="Q21" s="4" t="s">
        <v>2506</v>
      </c>
      <c r="R21" s="4" t="s">
        <v>2507</v>
      </c>
    </row>
    <row r="22" spans="1:18">
      <c r="A22" s="4">
        <v>53</v>
      </c>
      <c r="B22" s="4" t="s">
        <v>334</v>
      </c>
      <c r="C22" s="4" t="s">
        <v>337</v>
      </c>
      <c r="D22" s="4" t="s">
        <v>338</v>
      </c>
      <c r="E22" s="4">
        <v>2023</v>
      </c>
      <c r="F22" s="4" t="s">
        <v>79</v>
      </c>
      <c r="G22" s="4" t="s">
        <v>339</v>
      </c>
      <c r="H22" s="4" t="s">
        <v>29</v>
      </c>
      <c r="I22" s="4" t="s">
        <v>29</v>
      </c>
      <c r="J22" s="4">
        <v>212</v>
      </c>
      <c r="K22" s="4">
        <v>222</v>
      </c>
      <c r="L22" s="4">
        <v>10</v>
      </c>
      <c r="M22" s="4" t="s">
        <v>340</v>
      </c>
      <c r="N22" s="4" t="s">
        <v>341</v>
      </c>
      <c r="O22" s="4" t="s">
        <v>124</v>
      </c>
      <c r="P22" s="4" t="s">
        <v>35</v>
      </c>
      <c r="Q22" s="4" t="s">
        <v>2506</v>
      </c>
      <c r="R22" s="4" t="s">
        <v>2508</v>
      </c>
    </row>
    <row r="23" spans="1:18">
      <c r="A23" s="4">
        <v>112</v>
      </c>
      <c r="B23" s="4" t="s">
        <v>781</v>
      </c>
      <c r="C23" s="4" t="s">
        <v>784</v>
      </c>
      <c r="D23" s="4" t="s">
        <v>785</v>
      </c>
      <c r="E23" s="4">
        <v>2023</v>
      </c>
      <c r="F23" s="4" t="s">
        <v>786</v>
      </c>
      <c r="G23" s="4" t="s">
        <v>509</v>
      </c>
      <c r="H23" s="4" t="s">
        <v>29</v>
      </c>
      <c r="I23" s="4" t="s">
        <v>29</v>
      </c>
      <c r="J23" s="4">
        <v>707</v>
      </c>
      <c r="K23" s="4">
        <v>716</v>
      </c>
      <c r="L23" s="4">
        <v>9</v>
      </c>
      <c r="M23" s="4" t="s">
        <v>787</v>
      </c>
      <c r="N23" s="68" t="s">
        <v>788</v>
      </c>
      <c r="O23" s="4" t="s">
        <v>124</v>
      </c>
      <c r="P23" s="4" t="s">
        <v>35</v>
      </c>
      <c r="Q23" s="4" t="s">
        <v>2506</v>
      </c>
      <c r="R23" s="4" t="s">
        <v>2508</v>
      </c>
    </row>
    <row r="24" spans="1:18">
      <c r="A24" s="69">
        <v>304</v>
      </c>
      <c r="B24" s="61" t="s">
        <v>2203</v>
      </c>
      <c r="C24" s="61" t="s">
        <v>2206</v>
      </c>
      <c r="D24" s="61" t="s">
        <v>2207</v>
      </c>
      <c r="E24" s="61">
        <v>2024</v>
      </c>
      <c r="F24" s="61" t="s">
        <v>786</v>
      </c>
      <c r="G24" s="61">
        <v>4</v>
      </c>
      <c r="H24" s="61"/>
      <c r="I24" s="61"/>
      <c r="J24" s="61">
        <v>2049</v>
      </c>
      <c r="K24" s="61">
        <v>2058</v>
      </c>
      <c r="L24" s="61">
        <v>9</v>
      </c>
      <c r="M24" s="61" t="s">
        <v>2208</v>
      </c>
      <c r="N24" s="70" t="s">
        <v>2209</v>
      </c>
      <c r="O24" s="61" t="s">
        <v>124</v>
      </c>
      <c r="P24" s="61" t="s">
        <v>35</v>
      </c>
      <c r="Q24" s="61" t="s">
        <v>2506</v>
      </c>
      <c r="R24" s="69" t="s">
        <v>2508</v>
      </c>
    </row>
    <row r="25" spans="1:18">
      <c r="A25" s="69">
        <v>299</v>
      </c>
      <c r="B25" s="61" t="s">
        <v>2175</v>
      </c>
      <c r="C25" s="61" t="s">
        <v>2178</v>
      </c>
      <c r="D25" s="61" t="s">
        <v>2179</v>
      </c>
      <c r="E25" s="61">
        <v>2024</v>
      </c>
      <c r="F25" s="61" t="s">
        <v>112</v>
      </c>
      <c r="G25" s="61" t="s">
        <v>2122</v>
      </c>
      <c r="H25" s="61"/>
      <c r="I25" s="61"/>
      <c r="J25" s="61">
        <v>117</v>
      </c>
      <c r="K25" s="61">
        <v>126</v>
      </c>
      <c r="L25" s="61">
        <v>9</v>
      </c>
      <c r="M25" s="61" t="s">
        <v>2180</v>
      </c>
      <c r="N25" s="70" t="s">
        <v>2181</v>
      </c>
      <c r="O25" s="61" t="s">
        <v>124</v>
      </c>
      <c r="P25" s="61" t="s">
        <v>35</v>
      </c>
      <c r="Q25" s="61" t="s">
        <v>2510</v>
      </c>
      <c r="R25" s="69" t="s">
        <v>2507</v>
      </c>
    </row>
    <row r="26" spans="1:18">
      <c r="A26" s="69">
        <v>326</v>
      </c>
      <c r="B26" s="61" t="s">
        <v>2336</v>
      </c>
      <c r="C26" s="61" t="s">
        <v>2339</v>
      </c>
      <c r="D26" s="61" t="s">
        <v>2340</v>
      </c>
      <c r="E26" s="61">
        <v>2024</v>
      </c>
      <c r="F26" s="61" t="s">
        <v>79</v>
      </c>
      <c r="G26" s="61"/>
      <c r="H26" s="61"/>
      <c r="I26" s="61"/>
      <c r="J26" s="61">
        <v>389</v>
      </c>
      <c r="K26" s="61">
        <v>397</v>
      </c>
      <c r="L26" s="61">
        <v>8</v>
      </c>
      <c r="M26" s="61" t="s">
        <v>2341</v>
      </c>
      <c r="N26" s="70" t="s">
        <v>2342</v>
      </c>
      <c r="O26" s="61" t="s">
        <v>124</v>
      </c>
      <c r="P26" s="61" t="s">
        <v>35</v>
      </c>
      <c r="Q26" s="61" t="s">
        <v>2510</v>
      </c>
      <c r="R26" s="69" t="s">
        <v>2507</v>
      </c>
    </row>
    <row r="27" spans="1:18">
      <c r="A27" s="26">
        <v>262</v>
      </c>
      <c r="B27" s="26" t="s">
        <v>1933</v>
      </c>
      <c r="C27" s="26" t="s">
        <v>1935</v>
      </c>
      <c r="D27" s="26" t="s">
        <v>1936</v>
      </c>
      <c r="E27" s="26">
        <v>2023</v>
      </c>
      <c r="F27" s="26"/>
      <c r="G27" s="26"/>
      <c r="H27" s="26"/>
      <c r="I27" s="26"/>
      <c r="J27" s="26"/>
      <c r="K27" s="26"/>
      <c r="L27" s="26"/>
      <c r="M27" s="26" t="s">
        <v>1937</v>
      </c>
      <c r="N27" s="26" t="s">
        <v>1938</v>
      </c>
      <c r="O27" s="26" t="s">
        <v>310</v>
      </c>
      <c r="P27" s="26" t="s">
        <v>311</v>
      </c>
      <c r="Q27" s="26" t="s">
        <v>2509</v>
      </c>
      <c r="R27" s="26" t="s">
        <v>2507</v>
      </c>
    </row>
  </sheetData>
  <hyperlinks>
    <hyperlink ref="N23" r:id="rId1" xr:uid="{D0E2CE84-1628-C545-B2A7-E6C2D5D428E0}"/>
    <hyperlink ref="N9" r:id="rId2" xr:uid="{04491180-C950-A44D-A702-88F62C697A1C}"/>
    <hyperlink ref="N10" r:id="rId3" xr:uid="{F0480032-9A9E-C648-92D5-6CD57F096A0F}"/>
    <hyperlink ref="N3" r:id="rId4" xr:uid="{43CDD0F7-1799-C946-9CEC-2209BE3FDBDE}"/>
    <hyperlink ref="N15" r:id="rId5" xr:uid="{D866105C-88B5-2D4B-8AC6-46653FA2630C}"/>
    <hyperlink ref="N16" r:id="rId6" xr:uid="{803FFE60-05F7-2C44-97FB-E551F5AB8B9F}"/>
    <hyperlink ref="N25" r:id="rId7" xr:uid="{A62E06A1-F1A7-4B4F-AB0B-DC9D5D131155}"/>
    <hyperlink ref="N17" r:id="rId8" xr:uid="{F3B70B3B-5E4B-8E4A-9F3E-F8553CDE9D52}"/>
    <hyperlink ref="N24" r:id="rId9" xr:uid="{6B7B4BB4-8CA1-FD4F-A969-9E86F4B37B0F}"/>
    <hyperlink ref="N18" r:id="rId10" xr:uid="{8B80A43F-497E-AF46-9CAE-DFDF01072BF9}"/>
    <hyperlink ref="N19" r:id="rId11" xr:uid="{322A7EFC-132C-7C4C-B8E0-CF9011A1A2F7}"/>
    <hyperlink ref="N26" r:id="rId12" xr:uid="{A8D82CE5-7E85-684C-8AFB-B66DB83776A1}"/>
    <hyperlink ref="N4" r:id="rId13" xr:uid="{30EADD70-391F-9D43-8397-1695E626A4BA}"/>
  </hyperlinks>
  <pageMargins left="0.7" right="0.7" top="0.78740157499999996" bottom="0.78740157499999996" header="0.3" footer="0.3"/>
  <tableParts count="1">
    <tablePart r:id="rId1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60156-54B4-0247-9B6A-5592975C4C73}">
  <sheetPr codeName="Tabelle8">
    <tabColor theme="9" tint="-0.249977111117893"/>
  </sheetPr>
  <dimension ref="A1:B17"/>
  <sheetViews>
    <sheetView workbookViewId="0">
      <selection sqref="A1:B1"/>
    </sheetView>
  </sheetViews>
  <sheetFormatPr defaultColWidth="10.81640625" defaultRowHeight="14.5"/>
  <cols>
    <col min="1" max="1" width="30.6328125" style="14" customWidth="1"/>
    <col min="2" max="2" width="80.6328125" style="14" customWidth="1"/>
    <col min="3" max="16384" width="10.81640625" style="2"/>
  </cols>
  <sheetData>
    <row r="1" spans="1:2" ht="35.5" customHeight="1">
      <c r="A1" s="148" t="s">
        <v>3512</v>
      </c>
      <c r="B1" s="148"/>
    </row>
    <row r="3" spans="1:2">
      <c r="A3" s="140" t="s">
        <v>3475</v>
      </c>
      <c r="B3" s="140" t="s">
        <v>3474</v>
      </c>
    </row>
    <row r="4" spans="1:2">
      <c r="A4" s="139" t="s">
        <v>3481</v>
      </c>
      <c r="B4" s="77" t="s">
        <v>3500</v>
      </c>
    </row>
    <row r="5" spans="1:2">
      <c r="A5" s="141" t="s">
        <v>3482</v>
      </c>
      <c r="B5" s="142" t="s">
        <v>3502</v>
      </c>
    </row>
    <row r="6" spans="1:2">
      <c r="A6" s="139" t="s">
        <v>3483</v>
      </c>
      <c r="B6" s="77" t="s">
        <v>3501</v>
      </c>
    </row>
    <row r="7" spans="1:2">
      <c r="A7" s="139" t="s">
        <v>3484</v>
      </c>
      <c r="B7" s="77" t="s">
        <v>3503</v>
      </c>
    </row>
    <row r="8" spans="1:2">
      <c r="A8" s="141" t="s">
        <v>3485</v>
      </c>
      <c r="B8" s="142" t="s">
        <v>3502</v>
      </c>
    </row>
    <row r="9" spans="1:2">
      <c r="A9" s="139" t="s">
        <v>3486</v>
      </c>
      <c r="B9" s="77" t="s">
        <v>3504</v>
      </c>
    </row>
    <row r="10" spans="1:2">
      <c r="A10" s="139" t="s">
        <v>3487</v>
      </c>
      <c r="B10" s="77" t="s">
        <v>3505</v>
      </c>
    </row>
    <row r="11" spans="1:2">
      <c r="A11" s="139" t="s">
        <v>3404</v>
      </c>
      <c r="B11" s="77" t="s">
        <v>3506</v>
      </c>
    </row>
    <row r="12" spans="1:2">
      <c r="A12" s="139" t="s">
        <v>3488</v>
      </c>
      <c r="B12" s="77" t="s">
        <v>3507</v>
      </c>
    </row>
    <row r="13" spans="1:2">
      <c r="A13" s="139" t="s">
        <v>3329</v>
      </c>
      <c r="B13" s="77" t="s">
        <v>3508</v>
      </c>
    </row>
    <row r="14" spans="1:2">
      <c r="A14" s="139" t="s">
        <v>3489</v>
      </c>
      <c r="B14" s="77" t="s">
        <v>3509</v>
      </c>
    </row>
    <row r="15" spans="1:2">
      <c r="A15" s="141" t="s">
        <v>3490</v>
      </c>
      <c r="B15" s="142" t="s">
        <v>3502</v>
      </c>
    </row>
    <row r="16" spans="1:2">
      <c r="A16" s="139" t="s">
        <v>3491</v>
      </c>
      <c r="B16" s="77" t="s">
        <v>3510</v>
      </c>
    </row>
    <row r="17" spans="1:2" ht="29">
      <c r="A17" s="139" t="s">
        <v>3492</v>
      </c>
      <c r="B17" s="77" t="s">
        <v>3511</v>
      </c>
    </row>
  </sheetData>
  <mergeCells count="1">
    <mergeCell ref="A1:B1"/>
  </mergeCells>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AED01-E989-4A4C-B43C-C7414F4DF762}">
  <sheetPr codeName="Tabelle9">
    <tabColor theme="9" tint="0.79998168889431442"/>
  </sheetPr>
  <dimension ref="A1:AG71"/>
  <sheetViews>
    <sheetView zoomScaleNormal="100" workbookViewId="0">
      <pane xSplit="1" ySplit="1" topLeftCell="U7" activePane="bottomRight" state="frozen"/>
      <selection pane="topRight" activeCell="Q1" sqref="Q1"/>
      <selection pane="bottomLeft" activeCell="A2" sqref="A2"/>
      <selection pane="bottomRight" activeCell="A72" sqref="A72"/>
    </sheetView>
  </sheetViews>
  <sheetFormatPr defaultColWidth="8.6328125" defaultRowHeight="15" customHeight="1"/>
  <cols>
    <col min="1" max="1" width="5.1796875" style="14" customWidth="1"/>
    <col min="2" max="2" width="23.81640625" style="14" customWidth="1"/>
    <col min="3" max="3" width="103.36328125" style="14" customWidth="1"/>
    <col min="4" max="4" width="20.453125" style="12" hidden="1" customWidth="1"/>
    <col min="5" max="5" width="6.81640625" style="12" hidden="1" customWidth="1"/>
    <col min="6" max="6" width="47.1796875" style="12" hidden="1" customWidth="1"/>
    <col min="7" max="7" width="14.453125" style="12" hidden="1" customWidth="1"/>
    <col min="8" max="8" width="7.453125" style="12" hidden="1" customWidth="1"/>
    <col min="9" max="9" width="9.1796875" style="12" hidden="1" customWidth="1"/>
    <col min="10" max="10" width="11.36328125" style="12" hidden="1" customWidth="1"/>
    <col min="11" max="11" width="10.453125" style="12" hidden="1" customWidth="1"/>
    <col min="12" max="12" width="12.36328125" style="12" hidden="1" customWidth="1"/>
    <col min="13" max="13" width="35.36328125" style="12" hidden="1" customWidth="1"/>
    <col min="14" max="14" width="71.6328125" style="12" hidden="1" customWidth="1"/>
    <col min="15" max="15" width="21.453125" style="14" hidden="1" customWidth="1"/>
    <col min="16" max="16" width="17.81640625" style="14" hidden="1" customWidth="1"/>
    <col min="17" max="17" width="22.453125" style="14" hidden="1" customWidth="1"/>
    <col min="18" max="18" width="20.6328125" style="14" hidden="1" customWidth="1"/>
    <col min="19" max="19" width="23.453125" style="14" hidden="1" customWidth="1"/>
    <col min="20" max="20" width="74.1796875" style="72" customWidth="1"/>
    <col min="21" max="21" width="41.1796875" style="14" customWidth="1"/>
    <col min="22" max="22" width="13.81640625" style="14" customWidth="1"/>
    <col min="23" max="23" width="37.453125" style="14" customWidth="1"/>
    <col min="24" max="24" width="35.453125" style="14" customWidth="1"/>
    <col min="25" max="25" width="43.81640625" style="14" customWidth="1"/>
    <col min="26" max="26" width="34.453125" style="14" customWidth="1"/>
    <col min="27" max="27" width="25.6328125" style="14" customWidth="1"/>
    <col min="28" max="28" width="19.453125" style="14" customWidth="1"/>
    <col min="29" max="29" width="55.6328125" style="14" customWidth="1"/>
    <col min="30" max="33" width="48.1796875" style="14" customWidth="1"/>
    <col min="34" max="16384" width="8.6328125" style="14"/>
  </cols>
  <sheetData>
    <row r="1" spans="1:33" ht="29">
      <c r="A1" s="14" t="s">
        <v>0</v>
      </c>
      <c r="B1" s="14" t="s">
        <v>1</v>
      </c>
      <c r="C1" s="14" t="s">
        <v>4</v>
      </c>
      <c r="D1" s="12" t="s">
        <v>5</v>
      </c>
      <c r="E1" s="12" t="s">
        <v>6</v>
      </c>
      <c r="F1" s="12" t="s">
        <v>7</v>
      </c>
      <c r="G1" s="12" t="s">
        <v>8</v>
      </c>
      <c r="H1" s="12" t="s">
        <v>9</v>
      </c>
      <c r="I1" s="12" t="s">
        <v>10</v>
      </c>
      <c r="J1" s="12" t="s">
        <v>11</v>
      </c>
      <c r="K1" s="12" t="s">
        <v>12</v>
      </c>
      <c r="L1" s="12" t="s">
        <v>13</v>
      </c>
      <c r="M1" s="12" t="s">
        <v>14</v>
      </c>
      <c r="N1" s="12" t="s">
        <v>15</v>
      </c>
      <c r="O1" s="14" t="s">
        <v>16</v>
      </c>
      <c r="P1" s="14" t="s">
        <v>17</v>
      </c>
      <c r="Q1" s="14" t="s">
        <v>26</v>
      </c>
      <c r="R1" s="14" t="s">
        <v>27</v>
      </c>
      <c r="S1" s="18" t="s">
        <v>2523</v>
      </c>
      <c r="T1" s="71" t="s">
        <v>2524</v>
      </c>
      <c r="U1" s="19" t="s">
        <v>2525</v>
      </c>
      <c r="V1" s="19" t="s">
        <v>2526</v>
      </c>
      <c r="W1" s="19" t="s">
        <v>2527</v>
      </c>
      <c r="X1" s="19" t="s">
        <v>2528</v>
      </c>
      <c r="Y1" s="19" t="s">
        <v>2529</v>
      </c>
      <c r="Z1" s="19" t="s">
        <v>2530</v>
      </c>
      <c r="AA1" s="19" t="s">
        <v>2531</v>
      </c>
      <c r="AB1" s="19" t="s">
        <v>2532</v>
      </c>
      <c r="AC1" s="19" t="s">
        <v>2533</v>
      </c>
      <c r="AD1" s="19" t="s">
        <v>2534</v>
      </c>
      <c r="AE1" s="19" t="s">
        <v>2535</v>
      </c>
      <c r="AF1" s="19" t="s">
        <v>2536</v>
      </c>
      <c r="AG1" s="19" t="s">
        <v>2537</v>
      </c>
    </row>
    <row r="2" spans="1:33" customFormat="1" ht="14.5" hidden="1">
      <c r="A2">
        <v>27</v>
      </c>
      <c r="B2" t="s">
        <v>115</v>
      </c>
      <c r="C2" t="s">
        <v>118</v>
      </c>
      <c r="D2" t="s">
        <v>2538</v>
      </c>
      <c r="E2">
        <v>2020</v>
      </c>
      <c r="F2" t="s">
        <v>120</v>
      </c>
      <c r="G2" t="s">
        <v>29</v>
      </c>
      <c r="H2" t="s">
        <v>29</v>
      </c>
      <c r="I2" t="s">
        <v>121</v>
      </c>
      <c r="J2">
        <v>190</v>
      </c>
      <c r="K2">
        <v>193</v>
      </c>
      <c r="L2">
        <v>3</v>
      </c>
      <c r="M2" t="s">
        <v>122</v>
      </c>
      <c r="N2" t="s">
        <v>123</v>
      </c>
      <c r="O2" t="s">
        <v>124</v>
      </c>
      <c r="P2" t="s">
        <v>35</v>
      </c>
      <c r="Q2" t="s">
        <v>125</v>
      </c>
      <c r="R2" t="s">
        <v>37</v>
      </c>
      <c r="S2" s="7" t="s">
        <v>125</v>
      </c>
      <c r="T2" s="11" t="s">
        <v>2539</v>
      </c>
      <c r="U2" s="11" t="s">
        <v>2540</v>
      </c>
      <c r="V2" s="11" t="s">
        <v>2541</v>
      </c>
      <c r="W2" s="11" t="s">
        <v>2542</v>
      </c>
      <c r="X2" s="11" t="s">
        <v>2543</v>
      </c>
      <c r="Y2" s="11" t="s">
        <v>2544</v>
      </c>
      <c r="Z2" s="11" t="s">
        <v>2545</v>
      </c>
      <c r="AA2" s="11" t="s">
        <v>2508</v>
      </c>
      <c r="AB2" s="11" t="s">
        <v>2546</v>
      </c>
      <c r="AC2" s="11" t="s">
        <v>2547</v>
      </c>
      <c r="AD2" s="11" t="s">
        <v>2548</v>
      </c>
      <c r="AE2" s="11"/>
      <c r="AF2" s="11"/>
      <c r="AG2" s="11"/>
    </row>
    <row r="3" spans="1:33" customFormat="1" ht="14.5" hidden="1">
      <c r="A3">
        <v>28</v>
      </c>
      <c r="B3" t="s">
        <v>128</v>
      </c>
      <c r="C3" t="s">
        <v>131</v>
      </c>
      <c r="D3" t="s">
        <v>132</v>
      </c>
      <c r="E3">
        <v>2022</v>
      </c>
      <c r="F3" t="s">
        <v>133</v>
      </c>
      <c r="G3" t="s">
        <v>134</v>
      </c>
      <c r="H3" t="s">
        <v>29</v>
      </c>
      <c r="I3" t="s">
        <v>29</v>
      </c>
      <c r="J3">
        <v>435</v>
      </c>
      <c r="K3">
        <v>445</v>
      </c>
      <c r="L3">
        <v>10</v>
      </c>
      <c r="M3" t="s">
        <v>135</v>
      </c>
      <c r="N3" s="1" t="s">
        <v>136</v>
      </c>
      <c r="O3" t="s">
        <v>124</v>
      </c>
      <c r="P3" t="s">
        <v>35</v>
      </c>
      <c r="Q3" t="s">
        <v>126</v>
      </c>
      <c r="R3" s="8" t="s">
        <v>2549</v>
      </c>
      <c r="S3" s="9" t="s">
        <v>126</v>
      </c>
      <c r="T3" s="14"/>
      <c r="U3" s="2"/>
      <c r="V3" s="2"/>
      <c r="W3" s="2"/>
      <c r="X3" s="2"/>
      <c r="Y3" s="2"/>
      <c r="Z3" s="2"/>
      <c r="AA3" s="2"/>
      <c r="AB3" s="2"/>
      <c r="AC3" s="10"/>
      <c r="AD3" s="2"/>
      <c r="AE3" s="2"/>
      <c r="AF3" s="2"/>
      <c r="AG3" s="2"/>
    </row>
    <row r="4" spans="1:33" customFormat="1" ht="14.5" hidden="1">
      <c r="A4">
        <v>30</v>
      </c>
      <c r="B4" t="s">
        <v>146</v>
      </c>
      <c r="C4" t="s">
        <v>149</v>
      </c>
      <c r="D4" t="s">
        <v>150</v>
      </c>
      <c r="E4">
        <v>2023</v>
      </c>
      <c r="F4" t="s">
        <v>151</v>
      </c>
      <c r="G4" t="s">
        <v>152</v>
      </c>
      <c r="H4" t="s">
        <v>153</v>
      </c>
      <c r="I4" t="s">
        <v>154</v>
      </c>
      <c r="M4" t="s">
        <v>155</v>
      </c>
      <c r="N4" t="s">
        <v>156</v>
      </c>
      <c r="O4" t="s">
        <v>157</v>
      </c>
      <c r="P4" t="s">
        <v>35</v>
      </c>
      <c r="Q4" t="s">
        <v>125</v>
      </c>
      <c r="R4" t="s">
        <v>37</v>
      </c>
      <c r="S4" s="7" t="s">
        <v>125</v>
      </c>
      <c r="T4" s="11" t="s">
        <v>2550</v>
      </c>
      <c r="U4" s="11" t="s">
        <v>2551</v>
      </c>
      <c r="V4" s="11" t="s">
        <v>2552</v>
      </c>
      <c r="W4" s="11" t="s">
        <v>2553</v>
      </c>
      <c r="X4" s="11" t="s">
        <v>2554</v>
      </c>
      <c r="Y4" s="11" t="s">
        <v>2555</v>
      </c>
      <c r="Z4" s="11" t="s">
        <v>2556</v>
      </c>
      <c r="AA4" s="11" t="s">
        <v>2507</v>
      </c>
      <c r="AB4" s="11" t="s">
        <v>2557</v>
      </c>
      <c r="AC4" s="11" t="s">
        <v>2558</v>
      </c>
      <c r="AD4" s="11" t="s">
        <v>2559</v>
      </c>
      <c r="AE4" s="11"/>
      <c r="AF4" s="11"/>
      <c r="AG4" s="11"/>
    </row>
    <row r="5" spans="1:33" ht="174" hidden="1">
      <c r="A5" s="14">
        <v>31</v>
      </c>
      <c r="B5" s="14" t="s">
        <v>158</v>
      </c>
      <c r="C5" s="14" t="s">
        <v>161</v>
      </c>
      <c r="D5" t="s">
        <v>162</v>
      </c>
      <c r="E5">
        <v>2022</v>
      </c>
      <c r="F5" t="s">
        <v>163</v>
      </c>
      <c r="G5" t="s">
        <v>164</v>
      </c>
      <c r="H5" t="s">
        <v>165</v>
      </c>
      <c r="I5" t="s">
        <v>29</v>
      </c>
      <c r="J5">
        <v>295</v>
      </c>
      <c r="K5">
        <v>316</v>
      </c>
      <c r="L5">
        <v>21</v>
      </c>
      <c r="M5" t="s">
        <v>166</v>
      </c>
      <c r="N5" s="16" t="s">
        <v>167</v>
      </c>
      <c r="O5" s="14" t="s">
        <v>157</v>
      </c>
      <c r="P5" s="14" t="s">
        <v>35</v>
      </c>
      <c r="Q5" s="14" t="s">
        <v>125</v>
      </c>
      <c r="R5" s="14" t="s">
        <v>37</v>
      </c>
      <c r="S5" s="20" t="s">
        <v>125</v>
      </c>
      <c r="T5" s="14" t="s">
        <v>2560</v>
      </c>
      <c r="U5" s="14" t="s">
        <v>2561</v>
      </c>
      <c r="V5" s="14" t="s">
        <v>2562</v>
      </c>
      <c r="W5" s="14" t="s">
        <v>2563</v>
      </c>
      <c r="X5" s="23" t="s">
        <v>2564</v>
      </c>
      <c r="Y5" s="14" t="s">
        <v>2565</v>
      </c>
      <c r="Z5" s="14" t="s">
        <v>2566</v>
      </c>
      <c r="AA5" s="14" t="s">
        <v>2567</v>
      </c>
      <c r="AB5" s="14" t="s">
        <v>2568</v>
      </c>
      <c r="AC5" s="14" t="s">
        <v>2569</v>
      </c>
      <c r="AD5" s="14" t="s">
        <v>2570</v>
      </c>
    </row>
    <row r="6" spans="1:33" ht="101.5" hidden="1">
      <c r="A6" s="14">
        <v>32</v>
      </c>
      <c r="B6" s="14" t="s">
        <v>168</v>
      </c>
      <c r="C6" s="14" t="s">
        <v>171</v>
      </c>
      <c r="D6" t="s">
        <v>2571</v>
      </c>
      <c r="E6">
        <v>2023</v>
      </c>
      <c r="F6" t="s">
        <v>173</v>
      </c>
      <c r="G6" t="s">
        <v>174</v>
      </c>
      <c r="H6" t="s">
        <v>29</v>
      </c>
      <c r="I6" t="s">
        <v>29</v>
      </c>
      <c r="J6"/>
      <c r="K6"/>
      <c r="L6"/>
      <c r="M6" t="s">
        <v>175</v>
      </c>
      <c r="N6" t="s">
        <v>176</v>
      </c>
      <c r="O6" s="14" t="s">
        <v>124</v>
      </c>
      <c r="P6" s="14" t="s">
        <v>35</v>
      </c>
      <c r="Q6" s="14" t="s">
        <v>125</v>
      </c>
      <c r="R6" s="14" t="s">
        <v>37</v>
      </c>
      <c r="S6" s="20" t="s">
        <v>125</v>
      </c>
      <c r="T6" s="14" t="s">
        <v>2572</v>
      </c>
      <c r="U6" s="14" t="s">
        <v>2573</v>
      </c>
      <c r="V6" s="14" t="s">
        <v>2574</v>
      </c>
      <c r="W6" s="14" t="s">
        <v>2563</v>
      </c>
      <c r="X6" s="14" t="s">
        <v>2575</v>
      </c>
      <c r="Y6" s="14" t="s">
        <v>2576</v>
      </c>
      <c r="Z6" s="14" t="s">
        <v>2577</v>
      </c>
      <c r="AA6" s="14" t="s">
        <v>2578</v>
      </c>
      <c r="AB6" s="14" t="s">
        <v>2579</v>
      </c>
      <c r="AC6" s="14" t="s">
        <v>2580</v>
      </c>
      <c r="AD6" s="14" t="s">
        <v>2581</v>
      </c>
    </row>
    <row r="7" spans="1:33" ht="409.5">
      <c r="A7" s="15">
        <v>36</v>
      </c>
      <c r="B7" s="14" t="s">
        <v>205</v>
      </c>
      <c r="C7" s="14" t="s">
        <v>208</v>
      </c>
      <c r="D7" s="12" t="s">
        <v>2582</v>
      </c>
      <c r="E7" s="12">
        <v>2023</v>
      </c>
      <c r="F7" s="12" t="s">
        <v>210</v>
      </c>
      <c r="G7" s="12" t="s">
        <v>29</v>
      </c>
      <c r="H7" s="12" t="s">
        <v>29</v>
      </c>
      <c r="I7" s="12" t="s">
        <v>29</v>
      </c>
      <c r="J7" s="12">
        <v>318</v>
      </c>
      <c r="K7" s="12">
        <v>327</v>
      </c>
      <c r="L7" s="12">
        <v>9</v>
      </c>
      <c r="M7" s="12" t="s">
        <v>211</v>
      </c>
      <c r="N7" s="12" t="s">
        <v>212</v>
      </c>
      <c r="O7" s="14" t="s">
        <v>124</v>
      </c>
      <c r="P7" s="14" t="s">
        <v>35</v>
      </c>
      <c r="Q7" s="14" t="s">
        <v>125</v>
      </c>
      <c r="R7" s="14" t="s">
        <v>36</v>
      </c>
      <c r="S7" s="20" t="s">
        <v>125</v>
      </c>
      <c r="T7" s="72" t="s">
        <v>2583</v>
      </c>
      <c r="U7" s="14" t="s">
        <v>2584</v>
      </c>
      <c r="V7" s="14" t="s">
        <v>2585</v>
      </c>
      <c r="W7" s="14" t="s">
        <v>2586</v>
      </c>
      <c r="X7" s="14" t="s">
        <v>2587</v>
      </c>
      <c r="Y7" s="14" t="s">
        <v>2588</v>
      </c>
      <c r="Z7" s="14" t="s">
        <v>2589</v>
      </c>
      <c r="AA7" s="14" t="s">
        <v>2507</v>
      </c>
      <c r="AB7" s="14" t="s">
        <v>2590</v>
      </c>
      <c r="AC7" s="14" t="s">
        <v>2591</v>
      </c>
      <c r="AD7" s="14" t="s">
        <v>2592</v>
      </c>
      <c r="AF7" s="14" t="s">
        <v>2648</v>
      </c>
    </row>
    <row r="8" spans="1:33" customFormat="1" ht="14.5" hidden="1">
      <c r="A8">
        <v>43</v>
      </c>
      <c r="B8" t="s">
        <v>260</v>
      </c>
      <c r="C8" t="s">
        <v>263</v>
      </c>
      <c r="D8" t="s">
        <v>264</v>
      </c>
      <c r="E8">
        <v>2023</v>
      </c>
      <c r="F8" t="s">
        <v>265</v>
      </c>
      <c r="G8" t="s">
        <v>266</v>
      </c>
      <c r="H8" t="s">
        <v>29</v>
      </c>
      <c r="I8" t="s">
        <v>29</v>
      </c>
      <c r="J8">
        <v>135</v>
      </c>
      <c r="K8">
        <v>144</v>
      </c>
      <c r="L8">
        <v>9</v>
      </c>
      <c r="M8" t="s">
        <v>267</v>
      </c>
      <c r="N8" s="1" t="s">
        <v>268</v>
      </c>
      <c r="O8" t="s">
        <v>124</v>
      </c>
      <c r="P8" t="s">
        <v>35</v>
      </c>
      <c r="Q8" t="s">
        <v>126</v>
      </c>
      <c r="R8" s="5" t="s">
        <v>2549</v>
      </c>
      <c r="S8" s="9" t="s">
        <v>126</v>
      </c>
    </row>
    <row r="9" spans="1:33" customFormat="1" ht="14.5" hidden="1">
      <c r="A9">
        <v>50</v>
      </c>
      <c r="B9" t="s">
        <v>312</v>
      </c>
      <c r="C9" t="s">
        <v>315</v>
      </c>
      <c r="D9" t="s">
        <v>316</v>
      </c>
      <c r="E9">
        <v>2024</v>
      </c>
      <c r="F9" t="s">
        <v>41</v>
      </c>
      <c r="G9" t="s">
        <v>317</v>
      </c>
      <c r="H9" t="s">
        <v>29</v>
      </c>
      <c r="I9" t="s">
        <v>29</v>
      </c>
      <c r="J9">
        <v>355</v>
      </c>
      <c r="K9">
        <v>374</v>
      </c>
      <c r="L9">
        <v>19</v>
      </c>
      <c r="M9" t="s">
        <v>318</v>
      </c>
      <c r="N9" s="1" t="s">
        <v>319</v>
      </c>
      <c r="O9" t="s">
        <v>124</v>
      </c>
      <c r="P9" t="s">
        <v>35</v>
      </c>
      <c r="Q9" t="s">
        <v>126</v>
      </c>
      <c r="R9" s="5" t="s">
        <v>2593</v>
      </c>
      <c r="S9" s="9" t="s">
        <v>126</v>
      </c>
    </row>
    <row r="10" spans="1:33" customFormat="1" ht="14.5" hidden="1">
      <c r="A10">
        <v>52</v>
      </c>
      <c r="B10" t="s">
        <v>326</v>
      </c>
      <c r="C10" t="s">
        <v>329</v>
      </c>
      <c r="D10" t="s">
        <v>2497</v>
      </c>
      <c r="E10">
        <v>2023</v>
      </c>
      <c r="F10" t="s">
        <v>331</v>
      </c>
      <c r="G10" t="s">
        <v>29</v>
      </c>
      <c r="H10" t="s">
        <v>29</v>
      </c>
      <c r="I10" t="s">
        <v>29</v>
      </c>
      <c r="J10">
        <v>49</v>
      </c>
      <c r="K10">
        <v>54</v>
      </c>
      <c r="L10">
        <v>5</v>
      </c>
      <c r="M10" t="s">
        <v>332</v>
      </c>
      <c r="N10" t="s">
        <v>333</v>
      </c>
      <c r="O10" t="s">
        <v>124</v>
      </c>
      <c r="P10" t="s">
        <v>35</v>
      </c>
      <c r="Q10" t="s">
        <v>125</v>
      </c>
      <c r="R10" t="s">
        <v>37</v>
      </c>
      <c r="S10" s="3"/>
    </row>
    <row r="11" spans="1:33" ht="409.5">
      <c r="A11" s="15">
        <v>53</v>
      </c>
      <c r="B11" s="14" t="s">
        <v>334</v>
      </c>
      <c r="C11" s="14" t="s">
        <v>337</v>
      </c>
      <c r="D11" s="12" t="s">
        <v>2594</v>
      </c>
      <c r="E11" s="12">
        <v>2023</v>
      </c>
      <c r="F11" s="12" t="s">
        <v>79</v>
      </c>
      <c r="G11" s="12" t="s">
        <v>339</v>
      </c>
      <c r="H11" s="12" t="s">
        <v>29</v>
      </c>
      <c r="I11" s="12" t="s">
        <v>29</v>
      </c>
      <c r="J11" s="12">
        <v>212</v>
      </c>
      <c r="K11" s="12">
        <v>222</v>
      </c>
      <c r="L11" s="12">
        <v>10</v>
      </c>
      <c r="M11" s="12" t="s">
        <v>340</v>
      </c>
      <c r="N11" s="12" t="s">
        <v>341</v>
      </c>
      <c r="O11" s="14" t="s">
        <v>124</v>
      </c>
      <c r="P11" s="14" t="s">
        <v>35</v>
      </c>
      <c r="Q11" s="14" t="s">
        <v>125</v>
      </c>
      <c r="R11" s="14" t="s">
        <v>36</v>
      </c>
      <c r="S11" s="20" t="s">
        <v>125</v>
      </c>
      <c r="V11" s="14" t="s">
        <v>2574</v>
      </c>
      <c r="W11" s="14" t="s">
        <v>2586</v>
      </c>
      <c r="X11" s="14" t="s">
        <v>2595</v>
      </c>
      <c r="Y11" s="14" t="s">
        <v>2596</v>
      </c>
      <c r="Z11" s="14" t="s">
        <v>2597</v>
      </c>
      <c r="AA11" s="14" t="s">
        <v>2508</v>
      </c>
      <c r="AB11" s="14" t="s">
        <v>2598</v>
      </c>
      <c r="AC11" s="14" t="s">
        <v>2599</v>
      </c>
      <c r="AD11" s="14" t="s">
        <v>2600</v>
      </c>
      <c r="AF11" s="14" t="s">
        <v>2648</v>
      </c>
    </row>
    <row r="12" spans="1:33" customFormat="1" ht="14.5" hidden="1">
      <c r="A12">
        <v>54</v>
      </c>
      <c r="B12" t="s">
        <v>342</v>
      </c>
      <c r="C12" t="s">
        <v>345</v>
      </c>
      <c r="D12" t="s">
        <v>346</v>
      </c>
      <c r="E12">
        <v>2021</v>
      </c>
      <c r="F12" t="s">
        <v>347</v>
      </c>
      <c r="G12" t="s">
        <v>29</v>
      </c>
      <c r="H12" t="s">
        <v>29</v>
      </c>
      <c r="I12" t="s">
        <v>29</v>
      </c>
      <c r="J12">
        <v>1312</v>
      </c>
      <c r="K12">
        <v>1320</v>
      </c>
      <c r="L12">
        <v>8</v>
      </c>
      <c r="M12" t="s">
        <v>348</v>
      </c>
      <c r="N12" t="s">
        <v>349</v>
      </c>
      <c r="O12" t="s">
        <v>124</v>
      </c>
      <c r="P12" t="s">
        <v>35</v>
      </c>
      <c r="Q12" t="s">
        <v>125</v>
      </c>
      <c r="R12" t="s">
        <v>37</v>
      </c>
      <c r="S12" s="3"/>
    </row>
    <row r="13" spans="1:33" customFormat="1" ht="14.5" hidden="1">
      <c r="A13">
        <v>58</v>
      </c>
      <c r="B13" t="s">
        <v>369</v>
      </c>
      <c r="C13" t="s">
        <v>371</v>
      </c>
      <c r="D13" t="s">
        <v>372</v>
      </c>
      <c r="E13">
        <v>2021</v>
      </c>
      <c r="F13" t="s">
        <v>373</v>
      </c>
      <c r="M13" t="s">
        <v>374</v>
      </c>
      <c r="N13" t="s">
        <v>375</v>
      </c>
      <c r="O13" t="s">
        <v>310</v>
      </c>
      <c r="P13" t="s">
        <v>311</v>
      </c>
      <c r="Q13" t="s">
        <v>125</v>
      </c>
      <c r="R13" t="s">
        <v>37</v>
      </c>
      <c r="S13" s="4"/>
    </row>
    <row r="14" spans="1:33" customFormat="1" ht="14.5" hidden="1">
      <c r="A14">
        <v>62</v>
      </c>
      <c r="B14" t="s">
        <v>397</v>
      </c>
      <c r="C14" t="s">
        <v>400</v>
      </c>
      <c r="D14" t="s">
        <v>2601</v>
      </c>
      <c r="E14">
        <v>2021</v>
      </c>
      <c r="F14" t="s">
        <v>79</v>
      </c>
      <c r="G14" t="s">
        <v>29</v>
      </c>
      <c r="H14" t="s">
        <v>29</v>
      </c>
      <c r="I14" t="s">
        <v>29</v>
      </c>
      <c r="J14">
        <v>390</v>
      </c>
      <c r="K14">
        <v>395</v>
      </c>
      <c r="L14">
        <v>5</v>
      </c>
      <c r="M14" t="s">
        <v>402</v>
      </c>
      <c r="N14" t="s">
        <v>403</v>
      </c>
      <c r="O14" t="s">
        <v>124</v>
      </c>
      <c r="P14" t="s">
        <v>35</v>
      </c>
      <c r="Q14" t="s">
        <v>125</v>
      </c>
      <c r="R14" t="s">
        <v>37</v>
      </c>
      <c r="S14" s="3"/>
    </row>
    <row r="15" spans="1:33" ht="409.5">
      <c r="A15" s="15">
        <v>64</v>
      </c>
      <c r="B15" s="14" t="s">
        <v>412</v>
      </c>
      <c r="C15" s="14" t="s">
        <v>415</v>
      </c>
      <c r="D15" s="12" t="s">
        <v>416</v>
      </c>
      <c r="E15" s="12">
        <v>2019</v>
      </c>
      <c r="F15" s="12" t="s">
        <v>67</v>
      </c>
      <c r="G15" s="12" t="s">
        <v>417</v>
      </c>
      <c r="H15" s="12" t="s">
        <v>29</v>
      </c>
      <c r="I15" s="12" t="s">
        <v>29</v>
      </c>
      <c r="M15" s="12" t="s">
        <v>29</v>
      </c>
      <c r="N15" s="12" t="s">
        <v>418</v>
      </c>
      <c r="O15" s="14" t="s">
        <v>124</v>
      </c>
      <c r="P15" s="14" t="s">
        <v>35</v>
      </c>
      <c r="Q15" s="14" t="s">
        <v>125</v>
      </c>
      <c r="R15" s="14" t="s">
        <v>36</v>
      </c>
      <c r="S15" s="20" t="s">
        <v>125</v>
      </c>
      <c r="T15" s="72" t="s">
        <v>2602</v>
      </c>
      <c r="U15" s="14" t="s">
        <v>2603</v>
      </c>
      <c r="V15" s="14" t="s">
        <v>2585</v>
      </c>
      <c r="W15" s="14" t="s">
        <v>2604</v>
      </c>
      <c r="X15" s="14" t="s">
        <v>2605</v>
      </c>
      <c r="Y15" s="14" t="s">
        <v>2606</v>
      </c>
      <c r="Z15" s="14" t="s">
        <v>2607</v>
      </c>
      <c r="AA15" s="14" t="s">
        <v>2508</v>
      </c>
      <c r="AB15" s="14" t="s">
        <v>2579</v>
      </c>
      <c r="AC15" s="14" t="s">
        <v>2608</v>
      </c>
      <c r="AD15" s="14" t="s">
        <v>2609</v>
      </c>
      <c r="AF15" s="14" t="s">
        <v>2648</v>
      </c>
    </row>
    <row r="16" spans="1:33" customFormat="1" ht="14.5" hidden="1">
      <c r="A16">
        <v>65</v>
      </c>
      <c r="B16" t="s">
        <v>419</v>
      </c>
      <c r="C16" t="s">
        <v>422</v>
      </c>
      <c r="D16" t="s">
        <v>2610</v>
      </c>
      <c r="E16">
        <v>2020</v>
      </c>
      <c r="F16" t="s">
        <v>424</v>
      </c>
      <c r="G16" t="s">
        <v>29</v>
      </c>
      <c r="H16" t="s">
        <v>29</v>
      </c>
      <c r="I16" t="s">
        <v>425</v>
      </c>
      <c r="J16">
        <v>61</v>
      </c>
      <c r="K16">
        <v>69</v>
      </c>
      <c r="L16">
        <v>8</v>
      </c>
      <c r="M16" t="s">
        <v>426</v>
      </c>
      <c r="N16" t="s">
        <v>427</v>
      </c>
      <c r="O16" t="s">
        <v>124</v>
      </c>
      <c r="P16" t="s">
        <v>35</v>
      </c>
      <c r="Q16" t="s">
        <v>125</v>
      </c>
      <c r="R16" t="s">
        <v>37</v>
      </c>
      <c r="S16" s="3"/>
    </row>
    <row r="17" spans="1:33" customFormat="1" ht="14.5" hidden="1">
      <c r="A17">
        <v>67</v>
      </c>
      <c r="B17" t="s">
        <v>435</v>
      </c>
      <c r="C17" t="s">
        <v>438</v>
      </c>
      <c r="D17" t="s">
        <v>439</v>
      </c>
      <c r="E17">
        <v>2023</v>
      </c>
      <c r="F17" t="s">
        <v>440</v>
      </c>
      <c r="G17" t="s">
        <v>29</v>
      </c>
      <c r="H17" t="s">
        <v>29</v>
      </c>
      <c r="I17" t="s">
        <v>29</v>
      </c>
      <c r="J17">
        <v>52</v>
      </c>
      <c r="K17">
        <v>57</v>
      </c>
      <c r="L17">
        <v>5</v>
      </c>
      <c r="M17" t="s">
        <v>441</v>
      </c>
      <c r="N17" t="s">
        <v>442</v>
      </c>
      <c r="O17" t="s">
        <v>124</v>
      </c>
      <c r="P17" t="s">
        <v>35</v>
      </c>
      <c r="Q17" t="s">
        <v>125</v>
      </c>
      <c r="R17" t="s">
        <v>37</v>
      </c>
      <c r="S17" s="4"/>
    </row>
    <row r="18" spans="1:33" ht="203" hidden="1">
      <c r="A18" s="14">
        <v>68</v>
      </c>
      <c r="B18" s="14" t="s">
        <v>443</v>
      </c>
      <c r="C18" s="14" t="s">
        <v>446</v>
      </c>
      <c r="D18" t="s">
        <v>447</v>
      </c>
      <c r="E18">
        <v>2019</v>
      </c>
      <c r="F18" t="s">
        <v>448</v>
      </c>
      <c r="G18" t="s">
        <v>29</v>
      </c>
      <c r="H18" t="s">
        <v>29</v>
      </c>
      <c r="I18" t="s">
        <v>449</v>
      </c>
      <c r="J18">
        <v>260</v>
      </c>
      <c r="K18">
        <v>267</v>
      </c>
      <c r="L18">
        <v>7</v>
      </c>
      <c r="M18" t="s">
        <v>450</v>
      </c>
      <c r="N18" t="s">
        <v>451</v>
      </c>
      <c r="O18" s="14" t="s">
        <v>124</v>
      </c>
      <c r="P18" s="14" t="s">
        <v>35</v>
      </c>
      <c r="Q18" s="14" t="s">
        <v>125</v>
      </c>
      <c r="R18" s="14" t="s">
        <v>37</v>
      </c>
      <c r="S18" s="20" t="s">
        <v>125</v>
      </c>
      <c r="T18" s="14" t="s">
        <v>2611</v>
      </c>
      <c r="U18" s="14" t="s">
        <v>2612</v>
      </c>
      <c r="V18" s="14" t="s">
        <v>2574</v>
      </c>
      <c r="W18" s="14" t="s">
        <v>2613</v>
      </c>
      <c r="X18" s="14" t="s">
        <v>2614</v>
      </c>
      <c r="Y18" s="14" t="s">
        <v>2615</v>
      </c>
      <c r="Z18" s="14" t="s">
        <v>2616</v>
      </c>
      <c r="AA18" s="14" t="s">
        <v>2508</v>
      </c>
      <c r="AB18" s="14" t="s">
        <v>2617</v>
      </c>
      <c r="AC18" s="14" t="s">
        <v>2618</v>
      </c>
      <c r="AD18" s="14" t="s">
        <v>2619</v>
      </c>
    </row>
    <row r="19" spans="1:33" customFormat="1" ht="14.5" hidden="1">
      <c r="A19">
        <v>70</v>
      </c>
      <c r="B19" t="s">
        <v>458</v>
      </c>
      <c r="C19" t="s">
        <v>461</v>
      </c>
      <c r="D19" t="s">
        <v>462</v>
      </c>
      <c r="E19">
        <v>2022</v>
      </c>
      <c r="F19" t="s">
        <v>41</v>
      </c>
      <c r="G19" t="s">
        <v>48</v>
      </c>
      <c r="H19" t="s">
        <v>29</v>
      </c>
      <c r="I19" t="s">
        <v>29</v>
      </c>
      <c r="J19">
        <v>79</v>
      </c>
      <c r="K19">
        <v>86</v>
      </c>
      <c r="L19">
        <v>7</v>
      </c>
      <c r="M19" t="s">
        <v>463</v>
      </c>
      <c r="N19" t="s">
        <v>464</v>
      </c>
      <c r="O19" t="s">
        <v>124</v>
      </c>
      <c r="P19" t="s">
        <v>35</v>
      </c>
      <c r="Q19" t="s">
        <v>125</v>
      </c>
      <c r="R19" t="s">
        <v>37</v>
      </c>
      <c r="S19" s="4"/>
    </row>
    <row r="20" spans="1:33" customFormat="1" ht="14.5" hidden="1">
      <c r="A20">
        <v>71</v>
      </c>
      <c r="B20" t="s">
        <v>465</v>
      </c>
      <c r="C20" t="s">
        <v>467</v>
      </c>
      <c r="D20" t="s">
        <v>468</v>
      </c>
      <c r="E20">
        <v>2024</v>
      </c>
      <c r="M20" t="s">
        <v>469</v>
      </c>
      <c r="N20" t="s">
        <v>470</v>
      </c>
      <c r="O20" t="s">
        <v>310</v>
      </c>
      <c r="P20" t="s">
        <v>311</v>
      </c>
      <c r="Q20" t="s">
        <v>125</v>
      </c>
      <c r="R20" s="6" t="s">
        <v>37</v>
      </c>
      <c r="S20" s="3"/>
    </row>
    <row r="21" spans="1:33" ht="409.5">
      <c r="A21" s="15">
        <v>74</v>
      </c>
      <c r="B21" s="14" t="s">
        <v>489</v>
      </c>
      <c r="C21" s="14" t="s">
        <v>492</v>
      </c>
      <c r="D21" s="12" t="s">
        <v>493</v>
      </c>
      <c r="E21" s="12">
        <v>2023</v>
      </c>
      <c r="F21" s="12" t="s">
        <v>41</v>
      </c>
      <c r="G21" s="12" t="s">
        <v>494</v>
      </c>
      <c r="H21" s="12" t="s">
        <v>29</v>
      </c>
      <c r="I21" s="12" t="s">
        <v>29</v>
      </c>
      <c r="J21" s="12">
        <v>383</v>
      </c>
      <c r="K21" s="12">
        <v>396</v>
      </c>
      <c r="L21" s="12">
        <v>13</v>
      </c>
      <c r="M21" s="12" t="s">
        <v>495</v>
      </c>
      <c r="N21" s="12" t="s">
        <v>496</v>
      </c>
      <c r="O21" s="14" t="s">
        <v>124</v>
      </c>
      <c r="P21" s="14" t="s">
        <v>35</v>
      </c>
      <c r="Q21" s="14" t="s">
        <v>125</v>
      </c>
      <c r="R21" s="14" t="s">
        <v>36</v>
      </c>
      <c r="S21" s="20" t="s">
        <v>125</v>
      </c>
      <c r="T21" s="72" t="s">
        <v>2620</v>
      </c>
      <c r="U21" s="14" t="s">
        <v>2621</v>
      </c>
      <c r="V21" s="14" t="s">
        <v>2622</v>
      </c>
      <c r="W21" s="14" t="s">
        <v>2623</v>
      </c>
      <c r="X21" s="14" t="s">
        <v>2624</v>
      </c>
      <c r="Y21" s="14" t="s">
        <v>2625</v>
      </c>
      <c r="Z21" s="14" t="s">
        <v>2626</v>
      </c>
      <c r="AA21" s="14" t="s">
        <v>2507</v>
      </c>
      <c r="AB21" s="14" t="s">
        <v>2627</v>
      </c>
      <c r="AC21" s="14" t="s">
        <v>2628</v>
      </c>
      <c r="AD21" s="14" t="s">
        <v>2629</v>
      </c>
      <c r="AF21" s="14" t="s">
        <v>2648</v>
      </c>
    </row>
    <row r="22" spans="1:33" customFormat="1" ht="14.5" hidden="1">
      <c r="A22">
        <v>90</v>
      </c>
      <c r="B22" t="s">
        <v>617</v>
      </c>
      <c r="C22" t="s">
        <v>620</v>
      </c>
      <c r="D22" t="s">
        <v>621</v>
      </c>
      <c r="E22">
        <v>2023</v>
      </c>
      <c r="F22" t="s">
        <v>622</v>
      </c>
      <c r="G22" t="s">
        <v>29</v>
      </c>
      <c r="H22" t="s">
        <v>29</v>
      </c>
      <c r="I22" t="s">
        <v>29</v>
      </c>
      <c r="J22">
        <v>1277</v>
      </c>
      <c r="K22">
        <v>1289</v>
      </c>
      <c r="L22">
        <v>12</v>
      </c>
      <c r="M22" t="s">
        <v>623</v>
      </c>
      <c r="N22" t="s">
        <v>624</v>
      </c>
      <c r="O22" t="s">
        <v>124</v>
      </c>
      <c r="P22" t="s">
        <v>35</v>
      </c>
      <c r="Q22" t="s">
        <v>125</v>
      </c>
      <c r="R22" t="s">
        <v>37</v>
      </c>
      <c r="S22" s="3"/>
    </row>
    <row r="23" spans="1:33" customFormat="1" ht="14.5" hidden="1">
      <c r="A23">
        <v>92</v>
      </c>
      <c r="B23" t="s">
        <v>629</v>
      </c>
      <c r="C23" t="s">
        <v>632</v>
      </c>
      <c r="D23" t="s">
        <v>2630</v>
      </c>
      <c r="E23">
        <v>2023</v>
      </c>
      <c r="F23" t="s">
        <v>634</v>
      </c>
      <c r="G23" t="s">
        <v>29</v>
      </c>
      <c r="H23" t="s">
        <v>29</v>
      </c>
      <c r="I23" t="s">
        <v>29</v>
      </c>
      <c r="J23">
        <v>123</v>
      </c>
      <c r="K23">
        <v>128</v>
      </c>
      <c r="L23">
        <v>5</v>
      </c>
      <c r="M23" t="s">
        <v>635</v>
      </c>
      <c r="N23" t="s">
        <v>636</v>
      </c>
      <c r="O23" t="s">
        <v>124</v>
      </c>
      <c r="P23" t="s">
        <v>35</v>
      </c>
      <c r="Q23" t="s">
        <v>125</v>
      </c>
      <c r="R23" t="s">
        <v>37</v>
      </c>
      <c r="S23" s="4"/>
    </row>
    <row r="24" spans="1:33" ht="409.5">
      <c r="A24" s="15">
        <v>93</v>
      </c>
      <c r="B24" s="14" t="s">
        <v>637</v>
      </c>
      <c r="C24" s="14" t="s">
        <v>640</v>
      </c>
      <c r="D24" s="12" t="s">
        <v>2631</v>
      </c>
      <c r="E24" s="12">
        <v>2023</v>
      </c>
      <c r="F24" s="12" t="s">
        <v>79</v>
      </c>
      <c r="G24" s="12" t="s">
        <v>339</v>
      </c>
      <c r="H24" s="12" t="s">
        <v>29</v>
      </c>
      <c r="I24" s="12" t="s">
        <v>29</v>
      </c>
      <c r="J24" s="12">
        <v>335</v>
      </c>
      <c r="K24" s="12">
        <v>340</v>
      </c>
      <c r="L24" s="12">
        <v>5</v>
      </c>
      <c r="M24" s="12" t="s">
        <v>642</v>
      </c>
      <c r="N24" s="12" t="s">
        <v>643</v>
      </c>
      <c r="O24" s="14" t="s">
        <v>124</v>
      </c>
      <c r="P24" s="14" t="s">
        <v>35</v>
      </c>
      <c r="Q24" s="14" t="s">
        <v>125</v>
      </c>
      <c r="R24" s="14" t="s">
        <v>36</v>
      </c>
      <c r="S24" s="20" t="s">
        <v>125</v>
      </c>
      <c r="T24" s="72" t="s">
        <v>2632</v>
      </c>
      <c r="U24" s="14" t="s">
        <v>2633</v>
      </c>
      <c r="V24" s="14" t="s">
        <v>2574</v>
      </c>
      <c r="W24" s="14" t="s">
        <v>2604</v>
      </c>
      <c r="X24" s="14" t="s">
        <v>2634</v>
      </c>
      <c r="Y24" s="14" t="s">
        <v>2635</v>
      </c>
      <c r="Z24" s="14" t="s">
        <v>2636</v>
      </c>
      <c r="AA24" s="14" t="s">
        <v>2507</v>
      </c>
      <c r="AB24" s="14" t="s">
        <v>2637</v>
      </c>
      <c r="AC24" s="14" t="s">
        <v>2638</v>
      </c>
      <c r="AD24" s="14" t="s">
        <v>2639</v>
      </c>
      <c r="AF24" s="14" t="s">
        <v>2648</v>
      </c>
    </row>
    <row r="25" spans="1:33" customFormat="1" ht="14.5" hidden="1">
      <c r="A25">
        <v>94</v>
      </c>
      <c r="B25" t="s">
        <v>644</v>
      </c>
      <c r="C25" t="s">
        <v>647</v>
      </c>
      <c r="D25" t="s">
        <v>648</v>
      </c>
      <c r="E25">
        <v>2020</v>
      </c>
      <c r="F25" t="s">
        <v>112</v>
      </c>
      <c r="G25" t="s">
        <v>649</v>
      </c>
      <c r="H25" t="s">
        <v>29</v>
      </c>
      <c r="I25" t="s">
        <v>29</v>
      </c>
      <c r="J25">
        <v>87</v>
      </c>
      <c r="K25">
        <v>105</v>
      </c>
      <c r="L25">
        <v>18</v>
      </c>
      <c r="M25" t="s">
        <v>650</v>
      </c>
      <c r="N25" s="1" t="s">
        <v>651</v>
      </c>
      <c r="O25" t="s">
        <v>124</v>
      </c>
      <c r="P25" t="s">
        <v>35</v>
      </c>
      <c r="Q25" t="s">
        <v>126</v>
      </c>
      <c r="R25" s="5" t="s">
        <v>2549</v>
      </c>
      <c r="S25" s="9" t="s">
        <v>126</v>
      </c>
    </row>
    <row r="26" spans="1:33" ht="391.5" hidden="1">
      <c r="A26" s="14">
        <v>108</v>
      </c>
      <c r="B26" s="14" t="s">
        <v>749</v>
      </c>
      <c r="C26" s="14" t="s">
        <v>752</v>
      </c>
      <c r="D26" t="s">
        <v>753</v>
      </c>
      <c r="E26">
        <v>2020</v>
      </c>
      <c r="F26" t="s">
        <v>86</v>
      </c>
      <c r="G26" t="s">
        <v>29</v>
      </c>
      <c r="H26" t="s">
        <v>29</v>
      </c>
      <c r="I26" t="s">
        <v>29</v>
      </c>
      <c r="J26">
        <v>47</v>
      </c>
      <c r="K26">
        <v>54</v>
      </c>
      <c r="L26">
        <v>7</v>
      </c>
      <c r="M26" t="s">
        <v>754</v>
      </c>
      <c r="N26" s="17" t="s">
        <v>755</v>
      </c>
      <c r="O26" s="14" t="s">
        <v>124</v>
      </c>
      <c r="P26" s="14" t="s">
        <v>35</v>
      </c>
      <c r="Q26" s="14" t="s">
        <v>126</v>
      </c>
      <c r="R26" s="14" t="s">
        <v>37</v>
      </c>
      <c r="S26" s="20" t="s">
        <v>126</v>
      </c>
      <c r="T26" s="14" t="s">
        <v>2640</v>
      </c>
      <c r="U26" s="14" t="s">
        <v>194</v>
      </c>
      <c r="V26" s="14" t="s">
        <v>194</v>
      </c>
      <c r="W26" s="14" t="s">
        <v>2641</v>
      </c>
      <c r="Y26" s="14" t="s">
        <v>2642</v>
      </c>
      <c r="Z26" s="14" t="s">
        <v>2643</v>
      </c>
      <c r="AA26" s="14" t="s">
        <v>2644</v>
      </c>
      <c r="AB26" s="14" t="s">
        <v>2645</v>
      </c>
      <c r="AC26" s="14" t="s">
        <v>2646</v>
      </c>
      <c r="AD26" s="14" t="s">
        <v>2647</v>
      </c>
      <c r="AF26" s="14" t="s">
        <v>2648</v>
      </c>
      <c r="AG26" s="14" t="s">
        <v>2645</v>
      </c>
    </row>
    <row r="27" spans="1:33" ht="409.5" hidden="1">
      <c r="A27" s="14">
        <v>110</v>
      </c>
      <c r="B27" s="14" t="s">
        <v>762</v>
      </c>
      <c r="C27" s="14" t="s">
        <v>765</v>
      </c>
      <c r="D27" t="s">
        <v>766</v>
      </c>
      <c r="E27">
        <v>2019</v>
      </c>
      <c r="F27" t="s">
        <v>41</v>
      </c>
      <c r="G27" t="s">
        <v>767</v>
      </c>
      <c r="H27" t="s">
        <v>29</v>
      </c>
      <c r="I27" t="s">
        <v>29</v>
      </c>
      <c r="J27">
        <v>88</v>
      </c>
      <c r="K27">
        <v>96</v>
      </c>
      <c r="L27">
        <v>8</v>
      </c>
      <c r="M27" t="s">
        <v>768</v>
      </c>
      <c r="N27" s="17" t="s">
        <v>769</v>
      </c>
      <c r="O27" s="14" t="s">
        <v>124</v>
      </c>
      <c r="P27" s="14" t="s">
        <v>35</v>
      </c>
      <c r="Q27" s="14" t="s">
        <v>126</v>
      </c>
      <c r="R27" s="14" t="s">
        <v>37</v>
      </c>
      <c r="S27" s="20" t="s">
        <v>126</v>
      </c>
      <c r="T27" s="14" t="s">
        <v>2649</v>
      </c>
      <c r="V27" s="14" t="s">
        <v>2650</v>
      </c>
      <c r="W27" s="14" t="s">
        <v>2651</v>
      </c>
      <c r="Y27" s="14" t="s">
        <v>2652</v>
      </c>
      <c r="Z27" s="14" t="s">
        <v>2653</v>
      </c>
      <c r="AA27" s="14" t="s">
        <v>2654</v>
      </c>
      <c r="AB27" s="14" t="s">
        <v>2568</v>
      </c>
      <c r="AC27" s="14" t="s">
        <v>2655</v>
      </c>
      <c r="AD27" s="14" t="s">
        <v>2656</v>
      </c>
      <c r="AE27" s="14" t="s">
        <v>2657</v>
      </c>
      <c r="AF27" s="14" t="s">
        <v>2648</v>
      </c>
      <c r="AG27" s="14" t="s">
        <v>2645</v>
      </c>
    </row>
    <row r="28" spans="1:33" ht="409.5" hidden="1">
      <c r="A28" s="14">
        <v>111</v>
      </c>
      <c r="B28" s="14" t="s">
        <v>770</v>
      </c>
      <c r="C28" s="14" t="s">
        <v>773</v>
      </c>
      <c r="D28" t="s">
        <v>774</v>
      </c>
      <c r="E28">
        <v>2023</v>
      </c>
      <c r="F28" t="s">
        <v>775</v>
      </c>
      <c r="G28" t="s">
        <v>776</v>
      </c>
      <c r="H28" t="s">
        <v>777</v>
      </c>
      <c r="I28" t="s">
        <v>29</v>
      </c>
      <c r="J28">
        <v>705</v>
      </c>
      <c r="K28">
        <v>711</v>
      </c>
      <c r="L28">
        <v>6</v>
      </c>
      <c r="M28" t="s">
        <v>778</v>
      </c>
      <c r="N28" s="17" t="s">
        <v>779</v>
      </c>
      <c r="O28" s="14" t="s">
        <v>157</v>
      </c>
      <c r="P28" s="14" t="s">
        <v>35</v>
      </c>
      <c r="Q28" s="14" t="s">
        <v>126</v>
      </c>
      <c r="R28" s="14" t="s">
        <v>37</v>
      </c>
      <c r="S28" s="20" t="s">
        <v>126</v>
      </c>
      <c r="T28" s="14" t="s">
        <v>2658</v>
      </c>
      <c r="U28" s="14" t="s">
        <v>194</v>
      </c>
      <c r="V28" s="14" t="s">
        <v>194</v>
      </c>
      <c r="W28" s="14" t="s">
        <v>2659</v>
      </c>
      <c r="Y28" s="14" t="s">
        <v>2660</v>
      </c>
      <c r="Z28" s="14" t="s">
        <v>2661</v>
      </c>
      <c r="AA28" s="14" t="s">
        <v>2654</v>
      </c>
      <c r="AB28" s="14" t="s">
        <v>2568</v>
      </c>
      <c r="AC28" s="14" t="s">
        <v>2662</v>
      </c>
      <c r="AD28" s="14" t="s">
        <v>2663</v>
      </c>
      <c r="AE28" s="14" t="s">
        <v>2664</v>
      </c>
      <c r="AF28" s="14" t="s">
        <v>2648</v>
      </c>
      <c r="AG28" s="14" t="s">
        <v>2645</v>
      </c>
    </row>
    <row r="29" spans="1:33" ht="409.5">
      <c r="A29" s="15">
        <v>112</v>
      </c>
      <c r="B29" s="14" t="s">
        <v>781</v>
      </c>
      <c r="C29" s="14" t="s">
        <v>784</v>
      </c>
      <c r="D29" s="12" t="s">
        <v>785</v>
      </c>
      <c r="E29" s="12">
        <v>2023</v>
      </c>
      <c r="F29" s="12" t="s">
        <v>786</v>
      </c>
      <c r="G29" s="12" t="s">
        <v>509</v>
      </c>
      <c r="H29" s="12" t="s">
        <v>29</v>
      </c>
      <c r="I29" s="12" t="s">
        <v>29</v>
      </c>
      <c r="J29" s="12">
        <v>707</v>
      </c>
      <c r="K29" s="12">
        <v>716</v>
      </c>
      <c r="L29" s="12">
        <v>9</v>
      </c>
      <c r="M29" s="12" t="s">
        <v>787</v>
      </c>
      <c r="N29" s="28" t="s">
        <v>788</v>
      </c>
      <c r="O29" s="14" t="s">
        <v>124</v>
      </c>
      <c r="P29" s="14" t="s">
        <v>35</v>
      </c>
      <c r="Q29" s="14" t="s">
        <v>126</v>
      </c>
      <c r="R29" s="14" t="s">
        <v>36</v>
      </c>
      <c r="S29" s="20" t="s">
        <v>126</v>
      </c>
      <c r="T29" s="72" t="s">
        <v>2665</v>
      </c>
      <c r="U29" s="14" t="s">
        <v>194</v>
      </c>
      <c r="V29" s="14" t="s">
        <v>2666</v>
      </c>
      <c r="W29" s="14" t="s">
        <v>2667</v>
      </c>
      <c r="X29" s="14" t="s">
        <v>2668</v>
      </c>
      <c r="Y29" s="14" t="s">
        <v>2669</v>
      </c>
      <c r="Z29" s="14" t="s">
        <v>2670</v>
      </c>
      <c r="AA29" s="14" t="s">
        <v>2671</v>
      </c>
      <c r="AB29" s="14" t="s">
        <v>2568</v>
      </c>
      <c r="AC29" s="14" t="s">
        <v>2672</v>
      </c>
      <c r="AD29" s="14" t="s">
        <v>2673</v>
      </c>
      <c r="AE29" s="14" t="s">
        <v>2674</v>
      </c>
      <c r="AF29" s="14" t="s">
        <v>2648</v>
      </c>
    </row>
    <row r="30" spans="1:33" customFormat="1" ht="14.5" hidden="1">
      <c r="A30">
        <v>115</v>
      </c>
      <c r="B30" t="s">
        <v>806</v>
      </c>
      <c r="C30" t="s">
        <v>809</v>
      </c>
      <c r="D30" t="s">
        <v>810</v>
      </c>
      <c r="E30">
        <v>2022</v>
      </c>
      <c r="F30" t="s">
        <v>811</v>
      </c>
      <c r="G30" t="s">
        <v>29</v>
      </c>
      <c r="H30" t="s">
        <v>29</v>
      </c>
      <c r="I30" t="s">
        <v>29</v>
      </c>
      <c r="J30">
        <v>1884</v>
      </c>
      <c r="K30">
        <v>1888</v>
      </c>
      <c r="L30">
        <v>4</v>
      </c>
      <c r="M30" t="s">
        <v>812</v>
      </c>
      <c r="N30" s="1" t="s">
        <v>813</v>
      </c>
      <c r="O30" t="s">
        <v>124</v>
      </c>
      <c r="P30" t="s">
        <v>35</v>
      </c>
      <c r="Q30" t="s">
        <v>126</v>
      </c>
      <c r="R30" t="s">
        <v>2675</v>
      </c>
      <c r="S30" s="9" t="s">
        <v>126</v>
      </c>
    </row>
    <row r="31" spans="1:33" customFormat="1" ht="14.5" hidden="1">
      <c r="A31">
        <v>123</v>
      </c>
      <c r="B31" t="s">
        <v>866</v>
      </c>
      <c r="C31" t="s">
        <v>869</v>
      </c>
      <c r="D31" t="s">
        <v>870</v>
      </c>
      <c r="E31">
        <v>2019</v>
      </c>
      <c r="F31" t="s">
        <v>67</v>
      </c>
      <c r="G31" t="s">
        <v>417</v>
      </c>
      <c r="H31" t="s">
        <v>29</v>
      </c>
      <c r="I31" t="s">
        <v>29</v>
      </c>
      <c r="M31" t="s">
        <v>29</v>
      </c>
      <c r="N31" s="17" t="s">
        <v>871</v>
      </c>
      <c r="O31" t="s">
        <v>124</v>
      </c>
      <c r="P31" t="s">
        <v>35</v>
      </c>
      <c r="Q31" t="s">
        <v>126</v>
      </c>
      <c r="R31" t="s">
        <v>37</v>
      </c>
      <c r="S31" s="9" t="s">
        <v>126</v>
      </c>
    </row>
    <row r="32" spans="1:33" ht="246.5" hidden="1">
      <c r="A32" s="14">
        <v>124</v>
      </c>
      <c r="B32" s="14" t="s">
        <v>872</v>
      </c>
      <c r="C32" s="14" t="s">
        <v>875</v>
      </c>
      <c r="D32" t="s">
        <v>2676</v>
      </c>
      <c r="E32">
        <v>2023</v>
      </c>
      <c r="F32" t="s">
        <v>877</v>
      </c>
      <c r="G32" t="s">
        <v>29</v>
      </c>
      <c r="H32" t="s">
        <v>29</v>
      </c>
      <c r="I32" t="s">
        <v>29</v>
      </c>
      <c r="J32">
        <v>44</v>
      </c>
      <c r="K32">
        <v>51</v>
      </c>
      <c r="L32">
        <v>7</v>
      </c>
      <c r="M32" t="s">
        <v>878</v>
      </c>
      <c r="N32" s="17" t="s">
        <v>879</v>
      </c>
      <c r="O32" s="14" t="s">
        <v>124</v>
      </c>
      <c r="P32" s="14" t="s">
        <v>35</v>
      </c>
      <c r="Q32" s="14" t="s">
        <v>126</v>
      </c>
      <c r="R32" s="14" t="s">
        <v>37</v>
      </c>
      <c r="S32" s="20" t="s">
        <v>126</v>
      </c>
      <c r="T32" s="14" t="s">
        <v>2677</v>
      </c>
      <c r="U32" s="14" t="s">
        <v>2678</v>
      </c>
      <c r="V32" s="14" t="s">
        <v>2678</v>
      </c>
      <c r="W32" s="14" t="s">
        <v>2679</v>
      </c>
      <c r="Y32" s="14" t="s">
        <v>2680</v>
      </c>
      <c r="Z32" s="14" t="s">
        <v>2645</v>
      </c>
      <c r="AA32" s="14" t="s">
        <v>2645</v>
      </c>
      <c r="AB32" s="14" t="s">
        <v>2645</v>
      </c>
      <c r="AC32" s="14" t="s">
        <v>2681</v>
      </c>
      <c r="AD32" s="14" t="s">
        <v>2682</v>
      </c>
      <c r="AE32" s="14" t="s">
        <v>2645</v>
      </c>
      <c r="AF32" s="14" t="s">
        <v>2648</v>
      </c>
      <c r="AG32" s="14" t="s">
        <v>2645</v>
      </c>
    </row>
    <row r="33" spans="1:33" customFormat="1" ht="14.5" hidden="1">
      <c r="A33">
        <v>126</v>
      </c>
      <c r="B33" t="s">
        <v>886</v>
      </c>
      <c r="C33" t="s">
        <v>889</v>
      </c>
      <c r="D33" t="s">
        <v>2684</v>
      </c>
      <c r="E33">
        <v>2023</v>
      </c>
      <c r="F33" t="s">
        <v>79</v>
      </c>
      <c r="G33" t="s">
        <v>339</v>
      </c>
      <c r="H33" t="s">
        <v>29</v>
      </c>
      <c r="I33" t="s">
        <v>29</v>
      </c>
      <c r="J33">
        <v>41</v>
      </c>
      <c r="K33">
        <v>52</v>
      </c>
      <c r="L33">
        <v>11</v>
      </c>
      <c r="M33" t="s">
        <v>891</v>
      </c>
      <c r="N33" s="1" t="s">
        <v>892</v>
      </c>
      <c r="O33" t="s">
        <v>124</v>
      </c>
      <c r="P33" t="s">
        <v>35</v>
      </c>
      <c r="Q33" t="s">
        <v>126</v>
      </c>
      <c r="R33" t="s">
        <v>2685</v>
      </c>
      <c r="S33" s="9" t="s">
        <v>126</v>
      </c>
    </row>
    <row r="34" spans="1:33" ht="87" hidden="1">
      <c r="A34" s="14">
        <v>127</v>
      </c>
      <c r="B34" s="14" t="s">
        <v>893</v>
      </c>
      <c r="C34" s="14" t="s">
        <v>896</v>
      </c>
      <c r="D34" t="s">
        <v>897</v>
      </c>
      <c r="E34">
        <v>2022</v>
      </c>
      <c r="F34" t="s">
        <v>67</v>
      </c>
      <c r="G34" t="s">
        <v>97</v>
      </c>
      <c r="H34" t="s">
        <v>29</v>
      </c>
      <c r="I34" t="s">
        <v>29</v>
      </c>
      <c r="J34"/>
      <c r="K34"/>
      <c r="L34"/>
      <c r="M34" t="s">
        <v>29</v>
      </c>
      <c r="N34" s="17" t="s">
        <v>898</v>
      </c>
      <c r="O34" s="14" t="s">
        <v>124</v>
      </c>
      <c r="P34" s="14" t="s">
        <v>35</v>
      </c>
      <c r="Q34" s="14" t="s">
        <v>126</v>
      </c>
      <c r="R34" s="14" t="s">
        <v>37</v>
      </c>
      <c r="S34" s="20" t="s">
        <v>126</v>
      </c>
      <c r="T34" s="14" t="s">
        <v>2658</v>
      </c>
      <c r="U34" s="14" t="s">
        <v>194</v>
      </c>
      <c r="V34" s="14" t="s">
        <v>194</v>
      </c>
      <c r="W34" s="14" t="s">
        <v>2686</v>
      </c>
      <c r="Y34" s="14" t="s">
        <v>2687</v>
      </c>
      <c r="Z34" s="14" t="s">
        <v>2688</v>
      </c>
      <c r="AA34" s="14" t="s">
        <v>2689</v>
      </c>
      <c r="AB34" s="14" t="s">
        <v>2568</v>
      </c>
      <c r="AC34" s="14" t="s">
        <v>2690</v>
      </c>
      <c r="AD34" s="14" t="s">
        <v>2691</v>
      </c>
      <c r="AF34" s="14" t="s">
        <v>2568</v>
      </c>
      <c r="AG34" s="14" t="s">
        <v>2692</v>
      </c>
    </row>
    <row r="35" spans="1:33" customFormat="1" ht="14.5" hidden="1">
      <c r="A35">
        <v>128</v>
      </c>
      <c r="B35" t="s">
        <v>899</v>
      </c>
      <c r="C35" t="s">
        <v>902</v>
      </c>
      <c r="D35" t="s">
        <v>903</v>
      </c>
      <c r="E35">
        <v>2023</v>
      </c>
      <c r="F35" t="s">
        <v>904</v>
      </c>
      <c r="G35" t="s">
        <v>777</v>
      </c>
      <c r="H35" t="s">
        <v>165</v>
      </c>
      <c r="I35" t="s">
        <v>29</v>
      </c>
      <c r="J35">
        <v>343</v>
      </c>
      <c r="K35">
        <v>354</v>
      </c>
      <c r="L35">
        <v>11</v>
      </c>
      <c r="M35" t="s">
        <v>905</v>
      </c>
      <c r="N35" s="1" t="s">
        <v>906</v>
      </c>
      <c r="O35" t="s">
        <v>157</v>
      </c>
      <c r="P35" t="s">
        <v>35</v>
      </c>
      <c r="Q35" t="s">
        <v>126</v>
      </c>
      <c r="R35" t="s">
        <v>37</v>
      </c>
      <c r="S35" s="9" t="s">
        <v>126</v>
      </c>
    </row>
    <row r="36" spans="1:33" ht="409.5">
      <c r="A36" s="15">
        <v>130</v>
      </c>
      <c r="B36" s="14" t="s">
        <v>915</v>
      </c>
      <c r="C36" s="14" t="s">
        <v>918</v>
      </c>
      <c r="D36" s="12" t="s">
        <v>2693</v>
      </c>
      <c r="E36" s="12">
        <v>2021</v>
      </c>
      <c r="F36" s="12" t="s">
        <v>79</v>
      </c>
      <c r="G36" s="12" t="s">
        <v>920</v>
      </c>
      <c r="H36" s="12" t="s">
        <v>29</v>
      </c>
      <c r="I36" s="12" t="s">
        <v>29</v>
      </c>
      <c r="J36" s="12">
        <v>153</v>
      </c>
      <c r="K36" s="12">
        <v>156</v>
      </c>
      <c r="L36" s="12">
        <v>3</v>
      </c>
      <c r="M36" s="12" t="s">
        <v>921</v>
      </c>
      <c r="N36" s="28" t="s">
        <v>922</v>
      </c>
      <c r="O36" s="14" t="s">
        <v>124</v>
      </c>
      <c r="P36" s="14" t="s">
        <v>35</v>
      </c>
      <c r="Q36" s="14" t="s">
        <v>126</v>
      </c>
      <c r="R36" s="14" t="s">
        <v>36</v>
      </c>
      <c r="S36" s="20" t="s">
        <v>126</v>
      </c>
      <c r="T36" s="72" t="s">
        <v>2694</v>
      </c>
      <c r="U36" s="14" t="s">
        <v>2658</v>
      </c>
      <c r="V36" s="14" t="s">
        <v>2666</v>
      </c>
      <c r="W36" s="14" t="s">
        <v>2667</v>
      </c>
      <c r="X36" s="14" t="s">
        <v>2695</v>
      </c>
      <c r="Y36" s="14" t="s">
        <v>2696</v>
      </c>
      <c r="Z36" s="14" t="s">
        <v>2697</v>
      </c>
      <c r="AA36" s="14" t="s">
        <v>2698</v>
      </c>
      <c r="AB36" s="14" t="s">
        <v>2699</v>
      </c>
      <c r="AC36" s="14" t="s">
        <v>2700</v>
      </c>
      <c r="AD36" s="14" t="s">
        <v>2701</v>
      </c>
      <c r="AE36" s="14" t="s">
        <v>2702</v>
      </c>
      <c r="AF36" s="14" t="s">
        <v>2648</v>
      </c>
    </row>
    <row r="37" spans="1:33" ht="409.5">
      <c r="A37" s="15">
        <v>140</v>
      </c>
      <c r="B37" s="14" t="s">
        <v>1000</v>
      </c>
      <c r="C37" s="14" t="s">
        <v>1003</v>
      </c>
      <c r="D37" s="12" t="s">
        <v>2703</v>
      </c>
      <c r="E37" s="12">
        <v>2023</v>
      </c>
      <c r="F37" s="12" t="s">
        <v>1005</v>
      </c>
      <c r="G37" s="12" t="s">
        <v>29</v>
      </c>
      <c r="H37" s="12" t="s">
        <v>29</v>
      </c>
      <c r="I37" s="12" t="s">
        <v>29</v>
      </c>
      <c r="J37" s="12">
        <v>4722</v>
      </c>
      <c r="K37" s="12">
        <v>4730</v>
      </c>
      <c r="L37" s="12">
        <v>8</v>
      </c>
      <c r="M37" s="12" t="s">
        <v>1006</v>
      </c>
      <c r="N37" s="28" t="s">
        <v>1007</v>
      </c>
      <c r="O37" s="14" t="s">
        <v>124</v>
      </c>
      <c r="P37" s="14" t="s">
        <v>35</v>
      </c>
      <c r="Q37" s="14" t="s">
        <v>126</v>
      </c>
      <c r="R37" s="14" t="s">
        <v>36</v>
      </c>
      <c r="S37" s="22" t="s">
        <v>126</v>
      </c>
      <c r="T37" s="72" t="s">
        <v>2704</v>
      </c>
      <c r="U37" s="14" t="s">
        <v>2705</v>
      </c>
      <c r="V37" s="14" t="s">
        <v>2706</v>
      </c>
      <c r="W37" s="14" t="s">
        <v>2667</v>
      </c>
      <c r="X37" s="14" t="s">
        <v>2707</v>
      </c>
      <c r="Y37" s="14" t="s">
        <v>2708</v>
      </c>
      <c r="Z37" s="14" t="s">
        <v>2709</v>
      </c>
      <c r="AA37" s="14" t="s">
        <v>2683</v>
      </c>
      <c r="AB37" s="14" t="s">
        <v>2568</v>
      </c>
      <c r="AC37" s="14" t="s">
        <v>2710</v>
      </c>
      <c r="AD37" s="14" t="s">
        <v>2711</v>
      </c>
      <c r="AE37" s="14" t="s">
        <v>2712</v>
      </c>
      <c r="AF37" s="14" t="s">
        <v>2648</v>
      </c>
    </row>
    <row r="38" spans="1:33" customFormat="1" ht="14.5" hidden="1">
      <c r="A38">
        <v>143</v>
      </c>
      <c r="B38" t="s">
        <v>1025</v>
      </c>
      <c r="C38" t="s">
        <v>1028</v>
      </c>
      <c r="D38" t="s">
        <v>1029</v>
      </c>
      <c r="E38">
        <v>2023</v>
      </c>
      <c r="F38" t="s">
        <v>1030</v>
      </c>
      <c r="G38" t="s">
        <v>1031</v>
      </c>
      <c r="H38" t="s">
        <v>567</v>
      </c>
      <c r="I38" t="s">
        <v>29</v>
      </c>
      <c r="J38">
        <v>1014</v>
      </c>
      <c r="K38">
        <v>1024</v>
      </c>
      <c r="L38">
        <v>10</v>
      </c>
      <c r="M38" t="s">
        <v>1032</v>
      </c>
      <c r="N38" t="s">
        <v>1033</v>
      </c>
      <c r="O38" t="s">
        <v>157</v>
      </c>
      <c r="P38" t="s">
        <v>35</v>
      </c>
      <c r="Q38" t="s">
        <v>126</v>
      </c>
      <c r="R38" t="s">
        <v>2713</v>
      </c>
      <c r="S38" s="4"/>
      <c r="AE38" t="s">
        <v>2714</v>
      </c>
    </row>
    <row r="39" spans="1:33" s="2" customFormat="1" ht="29" hidden="1">
      <c r="A39" s="2">
        <v>144</v>
      </c>
      <c r="B39" s="2" t="s">
        <v>1034</v>
      </c>
      <c r="C39" s="2" t="s">
        <v>1037</v>
      </c>
      <c r="D39" t="s">
        <v>1038</v>
      </c>
      <c r="E39">
        <v>2019</v>
      </c>
      <c r="F39" t="s">
        <v>1039</v>
      </c>
      <c r="G39" t="s">
        <v>29</v>
      </c>
      <c r="H39" t="s">
        <v>29</v>
      </c>
      <c r="I39" t="s">
        <v>1040</v>
      </c>
      <c r="J39">
        <v>147</v>
      </c>
      <c r="K39">
        <v>153</v>
      </c>
      <c r="L39">
        <v>6</v>
      </c>
      <c r="M39" t="s">
        <v>1041</v>
      </c>
      <c r="N39" t="s">
        <v>1042</v>
      </c>
      <c r="O39" t="s">
        <v>124</v>
      </c>
      <c r="P39" t="s">
        <v>35</v>
      </c>
      <c r="Q39" s="2" t="s">
        <v>780</v>
      </c>
      <c r="R39" s="2" t="s">
        <v>37</v>
      </c>
      <c r="S39" s="13"/>
      <c r="T39" s="14"/>
      <c r="U39" s="14"/>
      <c r="X39" s="14"/>
      <c r="Y39" s="14"/>
      <c r="Z39" s="14"/>
      <c r="AA39" s="14"/>
      <c r="AB39" s="14"/>
      <c r="AC39" s="14"/>
      <c r="AD39" s="14"/>
      <c r="AE39" s="14" t="s">
        <v>2715</v>
      </c>
      <c r="AF39" s="14"/>
      <c r="AG39" s="14"/>
    </row>
    <row r="40" spans="1:33" ht="409.5">
      <c r="A40" s="15">
        <v>145</v>
      </c>
      <c r="B40" s="14" t="s">
        <v>1043</v>
      </c>
      <c r="C40" s="14" t="s">
        <v>1046</v>
      </c>
      <c r="D40" s="12" t="s">
        <v>1047</v>
      </c>
      <c r="E40" s="12">
        <v>2022</v>
      </c>
      <c r="F40" s="12" t="s">
        <v>1048</v>
      </c>
      <c r="G40" s="12" t="s">
        <v>29</v>
      </c>
      <c r="H40" s="12" t="s">
        <v>29</v>
      </c>
      <c r="I40" s="12" t="s">
        <v>29</v>
      </c>
      <c r="M40" s="12" t="s">
        <v>1049</v>
      </c>
      <c r="N40" s="12" t="s">
        <v>1050</v>
      </c>
      <c r="O40" s="14" t="s">
        <v>157</v>
      </c>
      <c r="P40" s="14" t="s">
        <v>35</v>
      </c>
      <c r="Q40" s="14" t="s">
        <v>780</v>
      </c>
      <c r="R40" s="14" t="s">
        <v>36</v>
      </c>
      <c r="S40" s="20" t="s">
        <v>780</v>
      </c>
      <c r="T40" s="72" t="s">
        <v>2716</v>
      </c>
      <c r="U40" s="14" t="s">
        <v>2717</v>
      </c>
      <c r="V40" s="14" t="s">
        <v>2718</v>
      </c>
      <c r="W40" s="14" t="s">
        <v>2679</v>
      </c>
      <c r="X40" s="14" t="s">
        <v>2719</v>
      </c>
      <c r="Y40" s="14" t="s">
        <v>2720</v>
      </c>
      <c r="Z40" s="14" t="s">
        <v>2721</v>
      </c>
      <c r="AA40" s="14" t="s">
        <v>2722</v>
      </c>
      <c r="AB40" s="14" t="s">
        <v>2723</v>
      </c>
      <c r="AC40" s="14" t="s">
        <v>2724</v>
      </c>
      <c r="AD40" s="14" t="s">
        <v>2725</v>
      </c>
      <c r="AE40" s="14" t="s">
        <v>2726</v>
      </c>
      <c r="AF40" s="14" t="s">
        <v>2727</v>
      </c>
      <c r="AG40" s="14" t="s">
        <v>2728</v>
      </c>
    </row>
    <row r="41" spans="1:33" s="2" customFormat="1" ht="29" hidden="1">
      <c r="A41" s="2">
        <v>152</v>
      </c>
      <c r="B41" s="2" t="s">
        <v>1095</v>
      </c>
      <c r="C41" s="2" t="s">
        <v>1098</v>
      </c>
      <c r="D41" t="s">
        <v>1099</v>
      </c>
      <c r="E41">
        <v>2020</v>
      </c>
      <c r="F41" t="s">
        <v>67</v>
      </c>
      <c r="G41" t="s">
        <v>91</v>
      </c>
      <c r="H41" t="s">
        <v>29</v>
      </c>
      <c r="I41" t="s">
        <v>29</v>
      </c>
      <c r="J41"/>
      <c r="K41"/>
      <c r="L41"/>
      <c r="M41" t="s">
        <v>29</v>
      </c>
      <c r="N41" t="s">
        <v>1100</v>
      </c>
      <c r="O41" t="s">
        <v>124</v>
      </c>
      <c r="P41" t="s">
        <v>35</v>
      </c>
      <c r="Q41" s="2" t="s">
        <v>780</v>
      </c>
      <c r="R41" s="2" t="s">
        <v>37</v>
      </c>
      <c r="S41" s="13" t="s">
        <v>780</v>
      </c>
      <c r="T41" s="14"/>
      <c r="U41" s="14"/>
      <c r="X41" s="14"/>
      <c r="Y41" s="14"/>
      <c r="Z41" s="14"/>
      <c r="AA41" s="14"/>
      <c r="AB41" s="14"/>
      <c r="AC41" s="14"/>
      <c r="AD41" s="14"/>
      <c r="AE41" s="14" t="s">
        <v>2729</v>
      </c>
      <c r="AF41" s="14"/>
      <c r="AG41" s="14"/>
    </row>
    <row r="42" spans="1:33" ht="409.5">
      <c r="A42" s="15">
        <v>158</v>
      </c>
      <c r="B42" s="14" t="s">
        <v>1136</v>
      </c>
      <c r="C42" s="14" t="s">
        <v>1138</v>
      </c>
      <c r="D42" s="12" t="s">
        <v>1139</v>
      </c>
      <c r="E42" s="12">
        <v>2024</v>
      </c>
      <c r="M42" s="12" t="s">
        <v>1140</v>
      </c>
      <c r="N42" s="12" t="s">
        <v>1141</v>
      </c>
      <c r="O42" s="14" t="s">
        <v>310</v>
      </c>
      <c r="P42" s="14" t="s">
        <v>311</v>
      </c>
      <c r="Q42" s="14" t="s">
        <v>780</v>
      </c>
      <c r="R42" s="14" t="s">
        <v>36</v>
      </c>
      <c r="S42" s="20" t="s">
        <v>780</v>
      </c>
      <c r="T42" s="72" t="s">
        <v>2730</v>
      </c>
      <c r="U42" s="14" t="s">
        <v>2731</v>
      </c>
      <c r="V42" s="14" t="s">
        <v>2732</v>
      </c>
      <c r="W42" s="14" t="s">
        <v>2667</v>
      </c>
      <c r="X42" s="14" t="s">
        <v>2733</v>
      </c>
      <c r="Y42" s="14" t="s">
        <v>2734</v>
      </c>
      <c r="Z42" s="14" t="s">
        <v>2735</v>
      </c>
      <c r="AA42" s="14" t="s">
        <v>2736</v>
      </c>
      <c r="AB42" s="14" t="s">
        <v>2737</v>
      </c>
      <c r="AC42" s="14" t="s">
        <v>2738</v>
      </c>
      <c r="AD42" s="14" t="s">
        <v>2739</v>
      </c>
      <c r="AE42" s="14" t="s">
        <v>2740</v>
      </c>
      <c r="AF42" s="14" t="s">
        <v>2648</v>
      </c>
    </row>
    <row r="43" spans="1:33" s="2" customFormat="1" ht="29" hidden="1">
      <c r="A43" s="2">
        <v>159</v>
      </c>
      <c r="B43" s="2" t="s">
        <v>1142</v>
      </c>
      <c r="C43" s="2" t="s">
        <v>1145</v>
      </c>
      <c r="D43" t="s">
        <v>1146</v>
      </c>
      <c r="E43">
        <v>2019</v>
      </c>
      <c r="F43" t="s">
        <v>67</v>
      </c>
      <c r="G43" t="s">
        <v>1147</v>
      </c>
      <c r="H43" t="s">
        <v>29</v>
      </c>
      <c r="I43" t="s">
        <v>29</v>
      </c>
      <c r="J43">
        <v>53</v>
      </c>
      <c r="K43">
        <v>60</v>
      </c>
      <c r="L43">
        <v>7</v>
      </c>
      <c r="M43" t="s">
        <v>29</v>
      </c>
      <c r="N43" t="s">
        <v>1148</v>
      </c>
      <c r="O43" t="s">
        <v>124</v>
      </c>
      <c r="P43" t="s">
        <v>35</v>
      </c>
      <c r="Q43" s="2" t="s">
        <v>780</v>
      </c>
      <c r="R43" s="2" t="s">
        <v>37</v>
      </c>
      <c r="S43" s="13" t="s">
        <v>780</v>
      </c>
      <c r="T43" s="14"/>
      <c r="U43" s="14"/>
      <c r="X43" s="14"/>
      <c r="Y43" s="14"/>
      <c r="Z43" s="14"/>
      <c r="AA43" s="14"/>
      <c r="AB43" s="14"/>
      <c r="AC43" s="14"/>
      <c r="AD43" s="14"/>
      <c r="AE43" s="14" t="s">
        <v>2741</v>
      </c>
      <c r="AF43" s="14"/>
      <c r="AG43" s="14"/>
    </row>
    <row r="44" spans="1:33" ht="409.5">
      <c r="A44" s="15">
        <v>181</v>
      </c>
      <c r="B44" s="14" t="s">
        <v>1313</v>
      </c>
      <c r="C44" s="14" t="s">
        <v>1316</v>
      </c>
      <c r="D44" s="12" t="s">
        <v>1317</v>
      </c>
      <c r="E44" s="12">
        <v>2023</v>
      </c>
      <c r="F44" s="12" t="s">
        <v>1318</v>
      </c>
      <c r="G44" s="12" t="s">
        <v>1319</v>
      </c>
      <c r="H44" s="12" t="s">
        <v>29</v>
      </c>
      <c r="I44" s="12" t="s">
        <v>1320</v>
      </c>
      <c r="M44" s="12" t="s">
        <v>1321</v>
      </c>
      <c r="N44" s="12" t="s">
        <v>1322</v>
      </c>
      <c r="O44" s="14" t="s">
        <v>157</v>
      </c>
      <c r="P44" s="14" t="s">
        <v>35</v>
      </c>
      <c r="Q44" s="14" t="s">
        <v>780</v>
      </c>
      <c r="R44" s="14" t="s">
        <v>36</v>
      </c>
      <c r="S44" s="20" t="s">
        <v>780</v>
      </c>
      <c r="T44" s="72" t="s">
        <v>2742</v>
      </c>
      <c r="U44" s="14" t="s">
        <v>2743</v>
      </c>
      <c r="V44" s="14" t="s">
        <v>2718</v>
      </c>
      <c r="W44" s="14" t="s">
        <v>2667</v>
      </c>
      <c r="X44" s="14" t="s">
        <v>2744</v>
      </c>
      <c r="Y44" s="14" t="s">
        <v>2745</v>
      </c>
      <c r="Z44" s="14" t="s">
        <v>2746</v>
      </c>
      <c r="AA44" s="14" t="s">
        <v>2747</v>
      </c>
      <c r="AB44" s="14" t="s">
        <v>2748</v>
      </c>
      <c r="AC44" s="14" t="s">
        <v>2749</v>
      </c>
      <c r="AD44" s="14" t="s">
        <v>2750</v>
      </c>
      <c r="AE44" s="14" t="s">
        <v>2751</v>
      </c>
      <c r="AF44" s="14" t="s">
        <v>2752</v>
      </c>
      <c r="AG44" s="21" t="s">
        <v>2753</v>
      </c>
    </row>
    <row r="45" spans="1:33" s="2" customFormat="1" ht="29" hidden="1">
      <c r="A45" s="2">
        <v>186</v>
      </c>
      <c r="B45" s="2" t="s">
        <v>1356</v>
      </c>
      <c r="C45" s="2" t="s">
        <v>1359</v>
      </c>
      <c r="D45" t="s">
        <v>1360</v>
      </c>
      <c r="E45">
        <v>2019</v>
      </c>
      <c r="F45" t="s">
        <v>1361</v>
      </c>
      <c r="G45" t="s">
        <v>29</v>
      </c>
      <c r="H45" t="s">
        <v>29</v>
      </c>
      <c r="I45" t="s">
        <v>1362</v>
      </c>
      <c r="J45"/>
      <c r="K45"/>
      <c r="L45"/>
      <c r="M45" t="s">
        <v>1363</v>
      </c>
      <c r="N45" t="s">
        <v>1364</v>
      </c>
      <c r="O45" t="s">
        <v>124</v>
      </c>
      <c r="P45" t="s">
        <v>35</v>
      </c>
      <c r="Q45" s="2" t="s">
        <v>780</v>
      </c>
      <c r="R45" s="2" t="s">
        <v>37</v>
      </c>
      <c r="S45" s="13" t="s">
        <v>780</v>
      </c>
      <c r="T45" s="14"/>
      <c r="U45" s="14"/>
      <c r="X45" s="14"/>
      <c r="Y45" s="14"/>
      <c r="Z45" s="14"/>
      <c r="AA45" s="14"/>
      <c r="AB45" s="14"/>
      <c r="AC45" s="14"/>
      <c r="AD45" s="14"/>
      <c r="AE45" s="14" t="s">
        <v>2754</v>
      </c>
      <c r="AF45" s="14"/>
      <c r="AG45" s="14"/>
    </row>
    <row r="46" spans="1:33" s="2" customFormat="1" ht="14.5" hidden="1">
      <c r="A46" s="2">
        <v>199</v>
      </c>
      <c r="B46" s="2" t="s">
        <v>1456</v>
      </c>
      <c r="C46" s="2" t="s">
        <v>1459</v>
      </c>
      <c r="D46" t="s">
        <v>1460</v>
      </c>
      <c r="E46">
        <v>2020</v>
      </c>
      <c r="F46" t="s">
        <v>1461</v>
      </c>
      <c r="G46" t="s">
        <v>29</v>
      </c>
      <c r="H46" t="s">
        <v>29</v>
      </c>
      <c r="I46" t="s">
        <v>1462</v>
      </c>
      <c r="J46"/>
      <c r="K46"/>
      <c r="L46"/>
      <c r="M46" t="s">
        <v>1463</v>
      </c>
      <c r="N46" t="s">
        <v>1464</v>
      </c>
      <c r="O46" t="s">
        <v>124</v>
      </c>
      <c r="P46" t="s">
        <v>35</v>
      </c>
      <c r="Q46" s="2" t="s">
        <v>780</v>
      </c>
      <c r="R46" s="2" t="s">
        <v>37</v>
      </c>
      <c r="S46" s="9" t="s">
        <v>780</v>
      </c>
      <c r="T46" s="14"/>
      <c r="U46" s="14"/>
      <c r="X46" s="14"/>
      <c r="Y46" s="14"/>
      <c r="Z46" s="14"/>
      <c r="AA46" s="14"/>
      <c r="AB46" s="14"/>
      <c r="AC46" s="14"/>
      <c r="AD46" s="14"/>
      <c r="AE46" s="14" t="s">
        <v>2755</v>
      </c>
      <c r="AF46" s="14"/>
      <c r="AG46" s="14"/>
    </row>
    <row r="47" spans="1:33" s="2" customFormat="1" ht="14.5" hidden="1">
      <c r="A47" s="2">
        <v>206</v>
      </c>
      <c r="B47" s="2" t="s">
        <v>1515</v>
      </c>
      <c r="C47" s="2" t="s">
        <v>1517</v>
      </c>
      <c r="D47" t="s">
        <v>1518</v>
      </c>
      <c r="E47">
        <v>2022</v>
      </c>
      <c r="F47"/>
      <c r="G47"/>
      <c r="H47"/>
      <c r="I47"/>
      <c r="J47"/>
      <c r="K47"/>
      <c r="L47"/>
      <c r="M47" t="s">
        <v>1519</v>
      </c>
      <c r="N47" t="s">
        <v>1520</v>
      </c>
      <c r="O47" t="s">
        <v>310</v>
      </c>
      <c r="P47" t="s">
        <v>311</v>
      </c>
      <c r="Q47" s="2" t="s">
        <v>780</v>
      </c>
      <c r="R47" s="2" t="s">
        <v>37</v>
      </c>
      <c r="S47" s="13" t="s">
        <v>780</v>
      </c>
      <c r="T47" s="14"/>
      <c r="U47" s="14"/>
      <c r="X47" s="14"/>
      <c r="Y47" s="14"/>
      <c r="Z47" s="14"/>
      <c r="AA47" s="14"/>
      <c r="AB47" s="14"/>
      <c r="AC47" s="14"/>
      <c r="AD47" s="14"/>
      <c r="AE47" s="14"/>
      <c r="AF47" s="14"/>
      <c r="AG47" s="14"/>
    </row>
    <row r="48" spans="1:33" ht="409.5">
      <c r="A48" s="15">
        <v>213</v>
      </c>
      <c r="B48" s="14" t="s">
        <v>1566</v>
      </c>
      <c r="C48" s="14" t="s">
        <v>1569</v>
      </c>
      <c r="D48" s="12" t="s">
        <v>1570</v>
      </c>
      <c r="E48" s="12">
        <v>2024</v>
      </c>
      <c r="F48" s="12" t="s">
        <v>112</v>
      </c>
      <c r="G48" s="12" t="s">
        <v>113</v>
      </c>
      <c r="H48" s="12" t="s">
        <v>29</v>
      </c>
      <c r="I48" s="12" t="s">
        <v>29</v>
      </c>
      <c r="J48" s="12">
        <v>173</v>
      </c>
      <c r="K48" s="12">
        <v>181</v>
      </c>
      <c r="L48" s="12">
        <v>8</v>
      </c>
      <c r="M48" s="12" t="s">
        <v>1571</v>
      </c>
      <c r="N48" s="12" t="s">
        <v>1572</v>
      </c>
      <c r="O48" s="14" t="s">
        <v>124</v>
      </c>
      <c r="P48" s="14" t="s">
        <v>35</v>
      </c>
      <c r="Q48" s="14" t="s">
        <v>780</v>
      </c>
      <c r="R48" s="14" t="s">
        <v>36</v>
      </c>
      <c r="S48" s="20" t="s">
        <v>780</v>
      </c>
      <c r="T48" s="72" t="s">
        <v>2756</v>
      </c>
      <c r="U48" s="14" t="s">
        <v>2757</v>
      </c>
      <c r="V48" s="14" t="s">
        <v>2718</v>
      </c>
      <c r="W48" s="14" t="s">
        <v>2667</v>
      </c>
      <c r="X48" s="14" t="s">
        <v>2758</v>
      </c>
      <c r="Y48" s="14" t="s">
        <v>2759</v>
      </c>
      <c r="Z48" s="14" t="s">
        <v>2760</v>
      </c>
      <c r="AA48" s="14" t="s">
        <v>2761</v>
      </c>
      <c r="AB48" s="14" t="s">
        <v>2762</v>
      </c>
      <c r="AC48" s="14" t="s">
        <v>2763</v>
      </c>
      <c r="AD48" s="14" t="s">
        <v>2764</v>
      </c>
      <c r="AE48" s="14" t="s">
        <v>2765</v>
      </c>
      <c r="AF48" s="14" t="s">
        <v>2648</v>
      </c>
    </row>
    <row r="49" spans="1:33" s="2" customFormat="1" ht="14.5" hidden="1">
      <c r="A49" s="2">
        <v>219</v>
      </c>
      <c r="B49" s="2" t="s">
        <v>1609</v>
      </c>
      <c r="C49" s="2" t="s">
        <v>1611</v>
      </c>
      <c r="D49" t="s">
        <v>1612</v>
      </c>
      <c r="E49">
        <v>2024</v>
      </c>
      <c r="F49"/>
      <c r="G49"/>
      <c r="H49"/>
      <c r="I49"/>
      <c r="J49"/>
      <c r="K49"/>
      <c r="L49"/>
      <c r="M49" t="s">
        <v>2766</v>
      </c>
      <c r="N49" t="s">
        <v>1614</v>
      </c>
      <c r="O49" t="s">
        <v>310</v>
      </c>
      <c r="P49" t="s">
        <v>311</v>
      </c>
      <c r="Q49" s="2" t="s">
        <v>780</v>
      </c>
      <c r="R49" s="2" t="s">
        <v>37</v>
      </c>
      <c r="S49" s="13" t="s">
        <v>780</v>
      </c>
      <c r="T49" s="14"/>
      <c r="U49" s="14"/>
      <c r="X49" s="14"/>
      <c r="Y49" s="14"/>
      <c r="Z49" s="14"/>
      <c r="AA49" s="14"/>
      <c r="AB49" s="14"/>
      <c r="AC49" s="14"/>
      <c r="AD49" s="14"/>
      <c r="AE49" s="14"/>
      <c r="AF49" s="14"/>
      <c r="AG49" s="14"/>
    </row>
    <row r="50" spans="1:33" s="2" customFormat="1" ht="14.5" hidden="1">
      <c r="A50" s="2">
        <v>221</v>
      </c>
      <c r="B50" s="2" t="s">
        <v>1623</v>
      </c>
      <c r="C50" s="2" t="s">
        <v>1626</v>
      </c>
      <c r="D50" t="s">
        <v>1627</v>
      </c>
      <c r="E50">
        <v>2024</v>
      </c>
      <c r="F50" t="s">
        <v>1628</v>
      </c>
      <c r="G50" t="s">
        <v>1629</v>
      </c>
      <c r="H50" t="s">
        <v>29</v>
      </c>
      <c r="I50" t="s">
        <v>1630</v>
      </c>
      <c r="J50"/>
      <c r="K50"/>
      <c r="L50"/>
      <c r="M50" t="s">
        <v>1631</v>
      </c>
      <c r="N50" t="s">
        <v>1632</v>
      </c>
      <c r="O50" t="s">
        <v>157</v>
      </c>
      <c r="P50" t="s">
        <v>35</v>
      </c>
      <c r="Q50" s="2" t="s">
        <v>780</v>
      </c>
      <c r="R50" s="2" t="s">
        <v>37</v>
      </c>
      <c r="S50" s="9" t="s">
        <v>780</v>
      </c>
      <c r="T50" s="14"/>
      <c r="U50" s="14"/>
      <c r="X50" s="14"/>
      <c r="Y50" s="14"/>
      <c r="Z50" s="14"/>
      <c r="AA50" s="14"/>
      <c r="AB50" s="14"/>
      <c r="AC50" s="14"/>
      <c r="AD50" s="14"/>
      <c r="AE50" s="14"/>
      <c r="AF50" s="14"/>
      <c r="AG50" s="14"/>
    </row>
    <row r="51" spans="1:33" s="2" customFormat="1" ht="14.5" hidden="1">
      <c r="A51" s="2">
        <v>228</v>
      </c>
      <c r="B51" s="2" t="s">
        <v>1680</v>
      </c>
      <c r="C51" s="2" t="s">
        <v>1683</v>
      </c>
      <c r="D51" t="s">
        <v>1684</v>
      </c>
      <c r="E51">
        <v>2020</v>
      </c>
      <c r="F51" t="s">
        <v>41</v>
      </c>
      <c r="G51" t="s">
        <v>1298</v>
      </c>
      <c r="H51" t="s">
        <v>29</v>
      </c>
      <c r="I51" t="s">
        <v>29</v>
      </c>
      <c r="J51">
        <v>239</v>
      </c>
      <c r="K51">
        <v>256</v>
      </c>
      <c r="L51">
        <v>17</v>
      </c>
      <c r="M51" t="s">
        <v>1685</v>
      </c>
      <c r="N51" t="s">
        <v>1686</v>
      </c>
      <c r="O51" t="s">
        <v>124</v>
      </c>
      <c r="P51" t="s">
        <v>35</v>
      </c>
      <c r="Q51" s="2" t="s">
        <v>780</v>
      </c>
      <c r="R51" s="2" t="s">
        <v>37</v>
      </c>
      <c r="S51" s="13" t="s">
        <v>780</v>
      </c>
      <c r="T51" s="14"/>
      <c r="U51" s="14"/>
      <c r="X51" s="14"/>
      <c r="Y51" s="14"/>
      <c r="Z51" s="14"/>
      <c r="AA51" s="14"/>
      <c r="AB51" s="14"/>
      <c r="AC51" s="14"/>
      <c r="AD51" s="14"/>
      <c r="AE51" s="14"/>
      <c r="AF51" s="14"/>
      <c r="AG51" s="14"/>
    </row>
    <row r="52" spans="1:33" s="2" customFormat="1" ht="14.5" hidden="1">
      <c r="A52" s="2">
        <v>229</v>
      </c>
      <c r="B52" s="2" t="s">
        <v>1687</v>
      </c>
      <c r="C52" s="2" t="s">
        <v>1689</v>
      </c>
      <c r="D52" t="s">
        <v>1690</v>
      </c>
      <c r="E52">
        <v>2021</v>
      </c>
      <c r="F52" t="s">
        <v>1691</v>
      </c>
      <c r="G52" t="s">
        <v>1692</v>
      </c>
      <c r="H52" t="s">
        <v>509</v>
      </c>
      <c r="I52" t="s">
        <v>29</v>
      </c>
      <c r="J52">
        <v>435</v>
      </c>
      <c r="K52">
        <v>461</v>
      </c>
      <c r="L52">
        <v>26</v>
      </c>
      <c r="M52" t="s">
        <v>1693</v>
      </c>
      <c r="N52" t="s">
        <v>1694</v>
      </c>
      <c r="O52" t="s">
        <v>157</v>
      </c>
      <c r="P52" t="s">
        <v>35</v>
      </c>
      <c r="Q52" s="2" t="s">
        <v>780</v>
      </c>
      <c r="R52" s="2" t="s">
        <v>37</v>
      </c>
      <c r="S52" s="9" t="s">
        <v>780</v>
      </c>
      <c r="T52" s="14"/>
      <c r="U52" s="14"/>
      <c r="X52" s="14"/>
      <c r="Y52" s="14"/>
      <c r="Z52" s="14"/>
      <c r="AA52" s="14"/>
      <c r="AB52" s="14"/>
      <c r="AC52" s="14"/>
      <c r="AD52" s="14"/>
      <c r="AE52" s="14"/>
      <c r="AF52" s="14"/>
      <c r="AG52" s="14"/>
    </row>
    <row r="53" spans="1:33" ht="409.5">
      <c r="A53" s="15">
        <v>258</v>
      </c>
      <c r="B53" s="14" t="s">
        <v>1901</v>
      </c>
      <c r="C53" s="14" t="s">
        <v>1904</v>
      </c>
      <c r="D53" s="12" t="s">
        <v>1905</v>
      </c>
      <c r="E53" s="12">
        <v>2023</v>
      </c>
      <c r="F53" s="12" t="s">
        <v>1906</v>
      </c>
      <c r="G53" s="12" t="s">
        <v>29</v>
      </c>
      <c r="H53" s="12" t="s">
        <v>29</v>
      </c>
      <c r="I53" s="12" t="s">
        <v>29</v>
      </c>
      <c r="J53" s="12">
        <v>220</v>
      </c>
      <c r="K53" s="12">
        <v>229</v>
      </c>
      <c r="L53" s="12">
        <v>9</v>
      </c>
      <c r="M53" s="12" t="s">
        <v>1907</v>
      </c>
      <c r="N53" s="12" t="s">
        <v>1908</v>
      </c>
      <c r="O53" s="14" t="s">
        <v>124</v>
      </c>
      <c r="P53" s="14" t="s">
        <v>35</v>
      </c>
      <c r="Q53" s="14" t="s">
        <v>780</v>
      </c>
      <c r="R53" s="14" t="s">
        <v>36</v>
      </c>
      <c r="S53" s="22" t="s">
        <v>780</v>
      </c>
      <c r="T53" s="72" t="s">
        <v>2767</v>
      </c>
      <c r="U53" s="14" t="s">
        <v>2768</v>
      </c>
      <c r="V53" s="14" t="s">
        <v>2718</v>
      </c>
      <c r="W53" s="14" t="s">
        <v>2667</v>
      </c>
      <c r="X53" s="14" t="s">
        <v>2769</v>
      </c>
      <c r="Y53" s="14" t="s">
        <v>2770</v>
      </c>
      <c r="Z53" s="14" t="s">
        <v>2771</v>
      </c>
      <c r="AA53" s="14" t="s">
        <v>2761</v>
      </c>
      <c r="AB53" s="14" t="s">
        <v>2772</v>
      </c>
      <c r="AC53" s="14" t="s">
        <v>2773</v>
      </c>
      <c r="AD53" s="14" t="s">
        <v>2774</v>
      </c>
      <c r="AE53" s="14" t="s">
        <v>2775</v>
      </c>
      <c r="AF53" s="14" t="s">
        <v>2648</v>
      </c>
    </row>
    <row r="54" spans="1:33" s="2" customFormat="1" ht="14.5" hidden="1">
      <c r="A54" s="2">
        <v>259</v>
      </c>
      <c r="B54" s="2" t="s">
        <v>1909</v>
      </c>
      <c r="C54" s="2" t="s">
        <v>1912</v>
      </c>
      <c r="D54" t="s">
        <v>1913</v>
      </c>
      <c r="E54">
        <v>2022</v>
      </c>
      <c r="F54" t="s">
        <v>67</v>
      </c>
      <c r="G54" t="s">
        <v>1914</v>
      </c>
      <c r="H54" t="s">
        <v>29</v>
      </c>
      <c r="I54" t="s">
        <v>29</v>
      </c>
      <c r="J54">
        <v>7</v>
      </c>
      <c r="K54">
        <v>13</v>
      </c>
      <c r="L54">
        <v>6</v>
      </c>
      <c r="M54" t="s">
        <v>29</v>
      </c>
      <c r="N54" t="s">
        <v>1915</v>
      </c>
      <c r="O54" t="s">
        <v>124</v>
      </c>
      <c r="P54" t="s">
        <v>35</v>
      </c>
      <c r="Q54" s="2" t="s">
        <v>780</v>
      </c>
      <c r="R54" s="2" t="s">
        <v>37</v>
      </c>
      <c r="S54" s="9" t="s">
        <v>780</v>
      </c>
      <c r="T54" s="14"/>
      <c r="U54" s="14"/>
      <c r="X54" s="14"/>
      <c r="Y54" s="14"/>
      <c r="Z54" s="14"/>
      <c r="AA54" s="14"/>
      <c r="AB54" s="14"/>
      <c r="AC54" s="14"/>
      <c r="AD54" s="14"/>
      <c r="AE54" s="14"/>
      <c r="AF54" s="14"/>
      <c r="AG54" s="14"/>
    </row>
    <row r="55" spans="1:33" ht="409.5">
      <c r="A55" s="15">
        <v>262</v>
      </c>
      <c r="B55" s="14" t="s">
        <v>1933</v>
      </c>
      <c r="C55" s="14" t="s">
        <v>1935</v>
      </c>
      <c r="D55" s="12" t="s">
        <v>1936</v>
      </c>
      <c r="E55" s="12">
        <v>2023</v>
      </c>
      <c r="M55" s="12" t="s">
        <v>1937</v>
      </c>
      <c r="N55" s="12" t="s">
        <v>1938</v>
      </c>
      <c r="O55" s="14" t="s">
        <v>310</v>
      </c>
      <c r="P55" s="14" t="s">
        <v>311</v>
      </c>
      <c r="Q55" s="14" t="s">
        <v>780</v>
      </c>
      <c r="R55" s="14" t="s">
        <v>36</v>
      </c>
      <c r="S55" s="22" t="s">
        <v>780</v>
      </c>
      <c r="T55" s="72" t="s">
        <v>2777</v>
      </c>
      <c r="U55" s="14" t="s">
        <v>2768</v>
      </c>
      <c r="V55" s="14" t="s">
        <v>2778</v>
      </c>
      <c r="W55" s="14" t="s">
        <v>2679</v>
      </c>
      <c r="X55" s="14" t="s">
        <v>2776</v>
      </c>
      <c r="Y55" s="14" t="s">
        <v>2680</v>
      </c>
      <c r="Z55" s="14" t="s">
        <v>2768</v>
      </c>
      <c r="AA55" s="14" t="s">
        <v>2768</v>
      </c>
      <c r="AB55" s="14" t="s">
        <v>2768</v>
      </c>
      <c r="AC55" s="14" t="s">
        <v>2779</v>
      </c>
      <c r="AD55" s="14" t="s">
        <v>2776</v>
      </c>
      <c r="AE55" s="14" t="s">
        <v>2768</v>
      </c>
      <c r="AF55" s="14" t="s">
        <v>2648</v>
      </c>
    </row>
    <row r="56" spans="1:33" ht="409.5">
      <c r="A56" s="15">
        <v>274</v>
      </c>
      <c r="B56" s="14" t="s">
        <v>2016</v>
      </c>
      <c r="C56" s="14" t="s">
        <v>2019</v>
      </c>
      <c r="D56" s="12" t="s">
        <v>2020</v>
      </c>
      <c r="E56" s="12">
        <v>2023</v>
      </c>
      <c r="F56" s="12" t="s">
        <v>2021</v>
      </c>
      <c r="G56" s="12" t="s">
        <v>29</v>
      </c>
      <c r="H56" s="12" t="s">
        <v>29</v>
      </c>
      <c r="I56" s="12" t="s">
        <v>29</v>
      </c>
      <c r="M56" s="12" t="s">
        <v>2022</v>
      </c>
      <c r="N56" s="12" t="s">
        <v>2023</v>
      </c>
      <c r="O56" s="14" t="s">
        <v>124</v>
      </c>
      <c r="P56" s="14" t="s">
        <v>35</v>
      </c>
      <c r="Q56" s="14" t="s">
        <v>780</v>
      </c>
      <c r="R56" s="14" t="s">
        <v>36</v>
      </c>
      <c r="S56" s="20" t="s">
        <v>780</v>
      </c>
      <c r="T56" s="72" t="s">
        <v>2780</v>
      </c>
      <c r="U56" s="14" t="s">
        <v>2768</v>
      </c>
      <c r="V56" s="14" t="s">
        <v>2718</v>
      </c>
      <c r="W56" s="14" t="s">
        <v>2667</v>
      </c>
      <c r="X56" s="14" t="s">
        <v>2781</v>
      </c>
      <c r="Y56" s="14" t="s">
        <v>2782</v>
      </c>
      <c r="Z56" s="14" t="s">
        <v>2783</v>
      </c>
      <c r="AA56" s="14" t="s">
        <v>2784</v>
      </c>
      <c r="AB56" s="14" t="s">
        <v>2785</v>
      </c>
      <c r="AC56" s="14" t="s">
        <v>2786</v>
      </c>
      <c r="AD56" s="14" t="s">
        <v>2787</v>
      </c>
      <c r="AE56" s="14" t="s">
        <v>2788</v>
      </c>
      <c r="AF56" s="14" t="s">
        <v>2568</v>
      </c>
      <c r="AG56" s="14" t="s">
        <v>2789</v>
      </c>
    </row>
    <row r="57" spans="1:33" ht="409.5">
      <c r="A57" s="37">
        <v>277</v>
      </c>
      <c r="B57" s="25" t="s">
        <v>2043</v>
      </c>
      <c r="C57" s="25" t="s">
        <v>2046</v>
      </c>
      <c r="D57" s="29" t="s">
        <v>2047</v>
      </c>
      <c r="E57" s="29">
        <v>2025</v>
      </c>
      <c r="F57" s="29" t="s">
        <v>2048</v>
      </c>
      <c r="G57" s="29" t="s">
        <v>2049</v>
      </c>
      <c r="H57" s="29"/>
      <c r="I57" s="29"/>
      <c r="J57" s="29">
        <v>307</v>
      </c>
      <c r="K57" s="29">
        <v>316</v>
      </c>
      <c r="L57" s="29">
        <v>9</v>
      </c>
      <c r="M57" s="29" t="s">
        <v>2050</v>
      </c>
      <c r="N57" s="29" t="s">
        <v>2051</v>
      </c>
      <c r="O57" s="25" t="s">
        <v>124</v>
      </c>
      <c r="P57" s="25" t="s">
        <v>35</v>
      </c>
      <c r="Q57" s="14" t="s">
        <v>125</v>
      </c>
      <c r="R57" s="14" t="s">
        <v>36</v>
      </c>
      <c r="S57" s="27" t="s">
        <v>125</v>
      </c>
      <c r="T57" s="72" t="s">
        <v>2790</v>
      </c>
      <c r="U57" s="14" t="s">
        <v>2791</v>
      </c>
      <c r="V57" s="14" t="s">
        <v>2585</v>
      </c>
      <c r="W57" s="14" t="s">
        <v>2792</v>
      </c>
      <c r="X57" s="14" t="s">
        <v>2793</v>
      </c>
      <c r="Y57" s="14" t="s">
        <v>2794</v>
      </c>
      <c r="Z57" s="14" t="s">
        <v>2795</v>
      </c>
      <c r="AA57" s="14" t="s">
        <v>2507</v>
      </c>
      <c r="AB57" s="14" t="s">
        <v>2579</v>
      </c>
      <c r="AC57" s="14" t="s">
        <v>2796</v>
      </c>
      <c r="AD57" s="14" t="s">
        <v>2797</v>
      </c>
      <c r="AE57" s="30" t="s">
        <v>2798</v>
      </c>
      <c r="AF57" s="14" t="s">
        <v>2648</v>
      </c>
    </row>
    <row r="58" spans="1:33" ht="409.5">
      <c r="A58" s="37">
        <v>297</v>
      </c>
      <c r="B58" s="20" t="s">
        <v>2161</v>
      </c>
      <c r="C58" s="20" t="s">
        <v>2164</v>
      </c>
      <c r="D58" s="31" t="s">
        <v>2498</v>
      </c>
      <c r="E58" s="31">
        <v>2025</v>
      </c>
      <c r="F58" s="31" t="s">
        <v>525</v>
      </c>
      <c r="G58" s="31"/>
      <c r="H58" s="31"/>
      <c r="I58" s="31"/>
      <c r="J58" s="31"/>
      <c r="K58" s="31"/>
      <c r="L58" s="31">
        <v>18</v>
      </c>
      <c r="M58" s="31" t="s">
        <v>2166</v>
      </c>
      <c r="N58" s="31" t="s">
        <v>2167</v>
      </c>
      <c r="O58" s="20" t="s">
        <v>157</v>
      </c>
      <c r="P58" s="20" t="s">
        <v>35</v>
      </c>
      <c r="Q58" s="14" t="s">
        <v>125</v>
      </c>
      <c r="R58" s="14" t="s">
        <v>36</v>
      </c>
      <c r="S58" s="22" t="s">
        <v>125</v>
      </c>
      <c r="T58" s="72" t="s">
        <v>2799</v>
      </c>
      <c r="U58" s="14" t="s">
        <v>2800</v>
      </c>
      <c r="V58" s="14" t="s">
        <v>2585</v>
      </c>
      <c r="W58" s="14" t="s">
        <v>2667</v>
      </c>
      <c r="X58" s="14" t="s">
        <v>2801</v>
      </c>
      <c r="Y58" s="14" t="s">
        <v>2802</v>
      </c>
      <c r="Z58" s="14" t="s">
        <v>2803</v>
      </c>
      <c r="AA58" s="14" t="s">
        <v>2804</v>
      </c>
      <c r="AB58" s="14" t="s">
        <v>2805</v>
      </c>
      <c r="AC58" s="14" t="s">
        <v>2806</v>
      </c>
      <c r="AD58" s="14" t="s">
        <v>2807</v>
      </c>
      <c r="AE58" s="14" t="s">
        <v>2808</v>
      </c>
      <c r="AF58" s="14" t="s">
        <v>2648</v>
      </c>
    </row>
    <row r="59" spans="1:33" ht="409.5">
      <c r="A59" s="37">
        <v>299</v>
      </c>
      <c r="B59" s="20" t="s">
        <v>2175</v>
      </c>
      <c r="C59" s="20" t="s">
        <v>2178</v>
      </c>
      <c r="D59" s="31" t="s">
        <v>2179</v>
      </c>
      <c r="E59" s="31">
        <v>2024</v>
      </c>
      <c r="F59" s="31" t="s">
        <v>112</v>
      </c>
      <c r="G59" s="31" t="s">
        <v>2122</v>
      </c>
      <c r="H59" s="31"/>
      <c r="I59" s="31"/>
      <c r="J59" s="31">
        <v>117</v>
      </c>
      <c r="K59" s="31">
        <v>126</v>
      </c>
      <c r="L59" s="31">
        <v>9</v>
      </c>
      <c r="M59" s="31" t="s">
        <v>2180</v>
      </c>
      <c r="N59" s="31" t="s">
        <v>2181</v>
      </c>
      <c r="O59" s="20" t="s">
        <v>124</v>
      </c>
      <c r="P59" s="20" t="s">
        <v>35</v>
      </c>
      <c r="Q59" s="14" t="s">
        <v>125</v>
      </c>
      <c r="R59" s="14" t="s">
        <v>36</v>
      </c>
      <c r="S59" s="22" t="s">
        <v>125</v>
      </c>
      <c r="T59" s="72" t="s">
        <v>2809</v>
      </c>
      <c r="U59" s="14" t="s">
        <v>2791</v>
      </c>
      <c r="V59" s="14" t="s">
        <v>2810</v>
      </c>
      <c r="W59" s="14" t="s">
        <v>2679</v>
      </c>
      <c r="X59" s="14" t="s">
        <v>2811</v>
      </c>
      <c r="Y59" s="14" t="s">
        <v>2812</v>
      </c>
      <c r="Z59" s="14">
        <v>6</v>
      </c>
      <c r="AA59" s="14" t="s">
        <v>2508</v>
      </c>
      <c r="AB59" s="14" t="s">
        <v>2813</v>
      </c>
      <c r="AC59" s="14" t="s">
        <v>2814</v>
      </c>
      <c r="AD59" s="14" t="s">
        <v>2815</v>
      </c>
      <c r="AE59" s="14" t="s">
        <v>2816</v>
      </c>
      <c r="AF59" s="14" t="s">
        <v>2648</v>
      </c>
    </row>
    <row r="60" spans="1:33" ht="409.5">
      <c r="A60" s="37">
        <v>302</v>
      </c>
      <c r="B60" s="20" t="s">
        <v>2194</v>
      </c>
      <c r="C60" s="20" t="s">
        <v>2197</v>
      </c>
      <c r="D60" s="31" t="s">
        <v>2198</v>
      </c>
      <c r="E60" s="31">
        <v>2024</v>
      </c>
      <c r="F60" s="31" t="s">
        <v>151</v>
      </c>
      <c r="G60" s="31">
        <v>31</v>
      </c>
      <c r="H60" s="31">
        <v>2</v>
      </c>
      <c r="I60" s="31">
        <v>55</v>
      </c>
      <c r="J60" s="31"/>
      <c r="K60" s="31"/>
      <c r="L60" s="31">
        <v>56</v>
      </c>
      <c r="M60" s="31" t="s">
        <v>2199</v>
      </c>
      <c r="N60" s="31" t="s">
        <v>2200</v>
      </c>
      <c r="O60" s="20" t="s">
        <v>157</v>
      </c>
      <c r="P60" s="20" t="s">
        <v>35</v>
      </c>
      <c r="Q60" s="14" t="s">
        <v>125</v>
      </c>
      <c r="R60" s="14" t="s">
        <v>36</v>
      </c>
      <c r="S60" s="22" t="s">
        <v>125</v>
      </c>
      <c r="T60" s="72" t="s">
        <v>2817</v>
      </c>
      <c r="U60" s="14" t="s">
        <v>2791</v>
      </c>
      <c r="V60" s="14" t="s">
        <v>2818</v>
      </c>
      <c r="W60" s="14" t="s">
        <v>2667</v>
      </c>
      <c r="X60" s="14" t="s">
        <v>2819</v>
      </c>
      <c r="Y60" s="14" t="s">
        <v>2820</v>
      </c>
      <c r="Z60" s="14" t="s">
        <v>2821</v>
      </c>
      <c r="AA60" s="14" t="s">
        <v>2508</v>
      </c>
      <c r="AB60" s="14" t="s">
        <v>2805</v>
      </c>
      <c r="AC60" s="14" t="s">
        <v>2822</v>
      </c>
      <c r="AD60" s="14" t="s">
        <v>2823</v>
      </c>
      <c r="AE60" s="14" t="s">
        <v>2824</v>
      </c>
      <c r="AF60" s="14" t="s">
        <v>2648</v>
      </c>
    </row>
    <row r="61" spans="1:33" ht="409.5">
      <c r="A61" s="37">
        <v>304</v>
      </c>
      <c r="B61" s="20" t="s">
        <v>2203</v>
      </c>
      <c r="C61" s="20" t="s">
        <v>2206</v>
      </c>
      <c r="D61" s="31" t="s">
        <v>2207</v>
      </c>
      <c r="E61" s="31">
        <v>2024</v>
      </c>
      <c r="F61" s="31" t="s">
        <v>786</v>
      </c>
      <c r="G61" s="31">
        <v>4</v>
      </c>
      <c r="H61" s="31"/>
      <c r="I61" s="31"/>
      <c r="J61" s="31">
        <v>2049</v>
      </c>
      <c r="K61" s="31">
        <v>2058</v>
      </c>
      <c r="L61" s="31">
        <v>9</v>
      </c>
      <c r="M61" s="31" t="s">
        <v>2208</v>
      </c>
      <c r="N61" s="31" t="s">
        <v>2209</v>
      </c>
      <c r="O61" s="20" t="s">
        <v>124</v>
      </c>
      <c r="P61" s="20" t="s">
        <v>35</v>
      </c>
      <c r="Q61" s="14" t="s">
        <v>125</v>
      </c>
      <c r="R61" s="14" t="s">
        <v>36</v>
      </c>
      <c r="S61" s="22" t="s">
        <v>125</v>
      </c>
      <c r="T61" s="72" t="s">
        <v>2825</v>
      </c>
      <c r="U61" s="14" t="s">
        <v>2826</v>
      </c>
      <c r="V61" s="14" t="s">
        <v>2827</v>
      </c>
      <c r="W61" s="14" t="s">
        <v>2563</v>
      </c>
      <c r="X61" s="14" t="s">
        <v>2828</v>
      </c>
      <c r="Y61" s="14" t="s">
        <v>2829</v>
      </c>
      <c r="Z61" s="14" t="s">
        <v>2830</v>
      </c>
      <c r="AA61" s="14" t="s">
        <v>2508</v>
      </c>
      <c r="AB61" s="14" t="s">
        <v>2805</v>
      </c>
      <c r="AC61" s="14" t="s">
        <v>2831</v>
      </c>
      <c r="AD61" s="14" t="s">
        <v>2832</v>
      </c>
      <c r="AE61" s="14" t="s">
        <v>2833</v>
      </c>
      <c r="AF61" s="14" t="s">
        <v>2648</v>
      </c>
    </row>
    <row r="62" spans="1:33" ht="409.5">
      <c r="A62" s="37">
        <v>307</v>
      </c>
      <c r="B62" s="20" t="s">
        <v>2223</v>
      </c>
      <c r="C62" s="20" t="s">
        <v>2226</v>
      </c>
      <c r="D62" s="31" t="s">
        <v>2227</v>
      </c>
      <c r="E62" s="31">
        <v>2025</v>
      </c>
      <c r="F62" s="31" t="s">
        <v>2048</v>
      </c>
      <c r="G62" s="31" t="s">
        <v>2049</v>
      </c>
      <c r="H62" s="31"/>
      <c r="I62" s="31"/>
      <c r="J62" s="31">
        <v>27</v>
      </c>
      <c r="K62" s="31">
        <v>42</v>
      </c>
      <c r="L62" s="31">
        <v>15</v>
      </c>
      <c r="M62" s="31" t="s">
        <v>2228</v>
      </c>
      <c r="N62" s="31" t="s">
        <v>2229</v>
      </c>
      <c r="O62" s="20" t="s">
        <v>124</v>
      </c>
      <c r="P62" s="20" t="s">
        <v>35</v>
      </c>
      <c r="Q62" s="14" t="s">
        <v>125</v>
      </c>
      <c r="R62" s="14" t="s">
        <v>36</v>
      </c>
      <c r="S62" s="22" t="s">
        <v>125</v>
      </c>
      <c r="T62" s="72" t="s">
        <v>2834</v>
      </c>
      <c r="U62" s="14" t="s">
        <v>127</v>
      </c>
      <c r="V62" s="14" t="s">
        <v>2585</v>
      </c>
      <c r="W62" s="14" t="s">
        <v>2679</v>
      </c>
      <c r="X62" s="14" t="s">
        <v>2835</v>
      </c>
      <c r="Y62" s="14" t="s">
        <v>2836</v>
      </c>
      <c r="Z62" s="14" t="s">
        <v>2837</v>
      </c>
      <c r="AA62" s="14" t="s">
        <v>2507</v>
      </c>
      <c r="AB62" s="14" t="s">
        <v>2805</v>
      </c>
      <c r="AC62" s="14" t="s">
        <v>2838</v>
      </c>
      <c r="AD62" s="14" t="s">
        <v>2839</v>
      </c>
      <c r="AE62" s="14" t="s">
        <v>2840</v>
      </c>
      <c r="AF62" s="14" t="s">
        <v>2648</v>
      </c>
    </row>
    <row r="63" spans="1:33" ht="409.5">
      <c r="A63" s="37">
        <v>325</v>
      </c>
      <c r="B63" s="20" t="s">
        <v>2328</v>
      </c>
      <c r="C63" s="20" t="s">
        <v>2331</v>
      </c>
      <c r="D63" s="31" t="s">
        <v>2499</v>
      </c>
      <c r="E63" s="31">
        <v>2024</v>
      </c>
      <c r="F63" s="31" t="s">
        <v>2333</v>
      </c>
      <c r="G63" s="31"/>
      <c r="H63" s="31"/>
      <c r="I63" s="31"/>
      <c r="J63" s="31"/>
      <c r="K63" s="31"/>
      <c r="L63" s="31">
        <v>6</v>
      </c>
      <c r="M63" s="31" t="s">
        <v>2334</v>
      </c>
      <c r="N63" s="31" t="s">
        <v>2335</v>
      </c>
      <c r="O63" s="20" t="s">
        <v>124</v>
      </c>
      <c r="P63" s="20" t="s">
        <v>35</v>
      </c>
      <c r="Q63" s="14" t="s">
        <v>780</v>
      </c>
      <c r="R63" s="14" t="s">
        <v>36</v>
      </c>
      <c r="S63" s="22" t="s">
        <v>125</v>
      </c>
      <c r="T63" s="72" t="s">
        <v>2841</v>
      </c>
      <c r="U63" s="14" t="s">
        <v>2842</v>
      </c>
      <c r="V63" s="14" t="s">
        <v>2585</v>
      </c>
      <c r="W63" s="14" t="s">
        <v>2563</v>
      </c>
      <c r="X63" s="14" t="s">
        <v>2843</v>
      </c>
      <c r="Y63" s="14" t="s">
        <v>2844</v>
      </c>
      <c r="Z63" s="14" t="s">
        <v>2845</v>
      </c>
      <c r="AA63" s="14" t="s">
        <v>2507</v>
      </c>
      <c r="AB63" s="14" t="s">
        <v>2805</v>
      </c>
      <c r="AC63" s="14" t="s">
        <v>2846</v>
      </c>
      <c r="AD63" s="14" t="s">
        <v>2847</v>
      </c>
      <c r="AE63" s="14" t="s">
        <v>2848</v>
      </c>
      <c r="AF63" s="14" t="s">
        <v>2648</v>
      </c>
    </row>
    <row r="64" spans="1:33" ht="409.5">
      <c r="A64" s="37">
        <v>326</v>
      </c>
      <c r="B64" s="20" t="s">
        <v>2336</v>
      </c>
      <c r="C64" s="20" t="s">
        <v>2339</v>
      </c>
      <c r="D64" s="31" t="s">
        <v>2500</v>
      </c>
      <c r="E64" s="31">
        <v>2024</v>
      </c>
      <c r="F64" s="31" t="s">
        <v>79</v>
      </c>
      <c r="G64" s="31"/>
      <c r="H64" s="31"/>
      <c r="I64" s="31"/>
      <c r="J64" s="31">
        <v>389</v>
      </c>
      <c r="K64" s="31">
        <v>397</v>
      </c>
      <c r="L64" s="31">
        <v>8</v>
      </c>
      <c r="M64" s="31" t="s">
        <v>2341</v>
      </c>
      <c r="N64" s="31" t="s">
        <v>2342</v>
      </c>
      <c r="O64" s="20" t="s">
        <v>124</v>
      </c>
      <c r="P64" s="20" t="s">
        <v>35</v>
      </c>
      <c r="Q64" s="14" t="s">
        <v>125</v>
      </c>
      <c r="R64" s="14" t="s">
        <v>36</v>
      </c>
      <c r="S64" s="22" t="s">
        <v>125</v>
      </c>
      <c r="T64" s="72" t="s">
        <v>2849</v>
      </c>
      <c r="U64" s="14" t="s">
        <v>2850</v>
      </c>
      <c r="V64" s="14" t="s">
        <v>2585</v>
      </c>
      <c r="W64" s="14" t="s">
        <v>2667</v>
      </c>
      <c r="X64" s="14" t="s">
        <v>2851</v>
      </c>
      <c r="Y64" s="14" t="s">
        <v>2852</v>
      </c>
      <c r="Z64" s="14" t="s">
        <v>2853</v>
      </c>
      <c r="AA64" s="14" t="s">
        <v>2804</v>
      </c>
      <c r="AB64" s="14" t="s">
        <v>2805</v>
      </c>
      <c r="AC64" s="14" t="s">
        <v>2854</v>
      </c>
      <c r="AD64" s="14" t="s">
        <v>2855</v>
      </c>
      <c r="AE64" s="14" t="s">
        <v>2856</v>
      </c>
      <c r="AF64" s="14" t="s">
        <v>2648</v>
      </c>
    </row>
    <row r="65" spans="1:33" ht="409.5">
      <c r="A65" s="38">
        <v>336</v>
      </c>
      <c r="B65" s="20" t="s">
        <v>2396</v>
      </c>
      <c r="C65" s="20" t="s">
        <v>2399</v>
      </c>
      <c r="D65" s="31" t="s">
        <v>2501</v>
      </c>
      <c r="E65" s="31">
        <v>2024</v>
      </c>
      <c r="F65" s="31" t="s">
        <v>525</v>
      </c>
      <c r="G65" s="31">
        <v>12</v>
      </c>
      <c r="H65" s="31"/>
      <c r="I65" s="31"/>
      <c r="J65" s="31">
        <v>171972</v>
      </c>
      <c r="K65" s="31">
        <v>171992</v>
      </c>
      <c r="L65" s="31">
        <v>20</v>
      </c>
      <c r="M65" s="31" t="s">
        <v>2401</v>
      </c>
      <c r="N65" s="31" t="s">
        <v>2402</v>
      </c>
      <c r="O65" s="20" t="s">
        <v>157</v>
      </c>
      <c r="P65" s="20" t="s">
        <v>35</v>
      </c>
      <c r="Q65" s="14" t="s">
        <v>125</v>
      </c>
      <c r="R65" s="14" t="s">
        <v>36</v>
      </c>
      <c r="S65" s="22" t="s">
        <v>125</v>
      </c>
      <c r="T65" s="72" t="s">
        <v>2857</v>
      </c>
      <c r="U65" s="14" t="s">
        <v>2858</v>
      </c>
      <c r="V65" s="14" t="s">
        <v>2585</v>
      </c>
      <c r="W65" s="14" t="s">
        <v>2563</v>
      </c>
      <c r="X65" s="14" t="s">
        <v>2859</v>
      </c>
      <c r="Y65" s="14" t="s">
        <v>2860</v>
      </c>
      <c r="Z65" s="14" t="s">
        <v>2861</v>
      </c>
      <c r="AA65" s="14" t="s">
        <v>2508</v>
      </c>
      <c r="AB65" s="14" t="s">
        <v>2805</v>
      </c>
      <c r="AC65" s="14" t="s">
        <v>2862</v>
      </c>
      <c r="AD65" s="14" t="s">
        <v>2863</v>
      </c>
      <c r="AE65" s="14" t="s">
        <v>2864</v>
      </c>
      <c r="AF65" s="14" t="s">
        <v>2648</v>
      </c>
    </row>
    <row r="66" spans="1:33" ht="15" hidden="1" customHeight="1">
      <c r="A66" s="4">
        <v>356</v>
      </c>
      <c r="B66" s="32" t="s">
        <v>2512</v>
      </c>
      <c r="C66" s="4" t="s">
        <v>2513</v>
      </c>
      <c r="D66" s="4" t="s">
        <v>2514</v>
      </c>
      <c r="E66" s="4">
        <v>2023</v>
      </c>
      <c r="F66" s="4" t="s">
        <v>2515</v>
      </c>
      <c r="G66" s="4">
        <v>12</v>
      </c>
      <c r="H66" s="4">
        <v>10</v>
      </c>
      <c r="I66" s="4">
        <v>2155</v>
      </c>
      <c r="J66" s="4"/>
      <c r="K66" s="4"/>
      <c r="L66" s="4"/>
      <c r="M66" s="4" t="s">
        <v>2516</v>
      </c>
      <c r="N66" s="4" t="s">
        <v>2517</v>
      </c>
      <c r="O66" s="4" t="s">
        <v>157</v>
      </c>
      <c r="P66" s="4" t="s">
        <v>35</v>
      </c>
      <c r="Q66" t="s">
        <v>125</v>
      </c>
      <c r="R66" t="s">
        <v>37</v>
      </c>
      <c r="S66" s="34" t="s">
        <v>125</v>
      </c>
      <c r="T66" s="14"/>
      <c r="AE66" s="2"/>
      <c r="AF66" s="2"/>
      <c r="AG66" s="2"/>
    </row>
    <row r="67" spans="1:33" ht="15" hidden="1" customHeight="1">
      <c r="A67" s="4">
        <v>357</v>
      </c>
      <c r="B67" s="4" t="s">
        <v>2518</v>
      </c>
      <c r="C67" s="4" t="s">
        <v>2519</v>
      </c>
      <c r="D67" s="4" t="s">
        <v>2520</v>
      </c>
      <c r="E67" s="4">
        <v>2025</v>
      </c>
      <c r="F67" s="4" t="s">
        <v>525</v>
      </c>
      <c r="G67" s="4">
        <v>13</v>
      </c>
      <c r="H67" s="4"/>
      <c r="I67" s="4"/>
      <c r="J67" s="4"/>
      <c r="K67" s="4"/>
      <c r="L67" s="4">
        <v>25</v>
      </c>
      <c r="M67" s="4" t="s">
        <v>2521</v>
      </c>
      <c r="N67" s="4" t="s">
        <v>2522</v>
      </c>
      <c r="O67" s="4" t="s">
        <v>157</v>
      </c>
      <c r="P67" s="4" t="s">
        <v>35</v>
      </c>
      <c r="Q67" t="s">
        <v>125</v>
      </c>
      <c r="R67" t="s">
        <v>37</v>
      </c>
      <c r="S67" s="34" t="s">
        <v>125</v>
      </c>
      <c r="T67" s="14" t="s">
        <v>2865</v>
      </c>
      <c r="U67" t="s">
        <v>2866</v>
      </c>
      <c r="V67" s="14" t="s">
        <v>2562</v>
      </c>
      <c r="W67" s="14" t="s">
        <v>2867</v>
      </c>
      <c r="X67" s="14" t="s">
        <v>2868</v>
      </c>
      <c r="Y67" s="14" t="s">
        <v>2869</v>
      </c>
      <c r="Z67" t="s">
        <v>2870</v>
      </c>
      <c r="AA67" s="14" t="s">
        <v>2507</v>
      </c>
      <c r="AB67" s="14" t="s">
        <v>2805</v>
      </c>
      <c r="AC67" s="14" t="s">
        <v>2871</v>
      </c>
      <c r="AD67" s="14" t="s">
        <v>2872</v>
      </c>
      <c r="AE67" s="2" t="s">
        <v>2873</v>
      </c>
      <c r="AF67" s="2"/>
      <c r="AG67" s="2"/>
    </row>
    <row r="68" spans="1:33" ht="96" hidden="1" customHeight="1">
      <c r="A68" s="4">
        <v>358</v>
      </c>
      <c r="B68" s="4" t="s">
        <v>2479</v>
      </c>
      <c r="C68" s="4" t="s">
        <v>2480</v>
      </c>
      <c r="D68" s="4" t="s">
        <v>2481</v>
      </c>
      <c r="E68" s="4">
        <v>2022</v>
      </c>
      <c r="F68" s="4" t="s">
        <v>691</v>
      </c>
      <c r="G68" s="4">
        <v>24</v>
      </c>
      <c r="H68" s="4">
        <v>6</v>
      </c>
      <c r="I68" s="4"/>
      <c r="J68" s="4"/>
      <c r="K68" s="4"/>
      <c r="L68" s="4">
        <v>21</v>
      </c>
      <c r="M68" s="4" t="s">
        <v>2482</v>
      </c>
      <c r="N68" s="4" t="s">
        <v>2483</v>
      </c>
      <c r="O68" s="4" t="s">
        <v>157</v>
      </c>
      <c r="P68" s="4" t="s">
        <v>35</v>
      </c>
      <c r="Q68" t="s">
        <v>125</v>
      </c>
      <c r="R68" t="s">
        <v>37</v>
      </c>
      <c r="S68" s="34" t="s">
        <v>125</v>
      </c>
      <c r="T68" s="14" t="s">
        <v>2874</v>
      </c>
      <c r="U68" s="14" t="s">
        <v>2842</v>
      </c>
      <c r="V68" s="14" t="s">
        <v>2875</v>
      </c>
      <c r="W68" s="14" t="s">
        <v>2876</v>
      </c>
      <c r="X68" s="14" t="s">
        <v>2877</v>
      </c>
      <c r="Y68" s="14" t="s">
        <v>2878</v>
      </c>
      <c r="Z68" t="s">
        <v>2879</v>
      </c>
      <c r="AA68" s="14" t="s">
        <v>2508</v>
      </c>
      <c r="AB68" s="14" t="s">
        <v>2805</v>
      </c>
      <c r="AC68" s="14" t="s">
        <v>2880</v>
      </c>
      <c r="AD68" s="14" t="s">
        <v>2881</v>
      </c>
      <c r="AE68" s="2" t="s">
        <v>2882</v>
      </c>
      <c r="AF68" s="2" t="s">
        <v>2883</v>
      </c>
      <c r="AG68" s="1" t="s">
        <v>2884</v>
      </c>
    </row>
    <row r="69" spans="1:33" ht="95.25" hidden="1" customHeight="1">
      <c r="A69" s="4">
        <v>359</v>
      </c>
      <c r="B69" s="33" t="s">
        <v>2485</v>
      </c>
      <c r="C69" s="33" t="s">
        <v>2486</v>
      </c>
      <c r="D69" s="4" t="s">
        <v>2487</v>
      </c>
      <c r="E69" s="4">
        <v>2024</v>
      </c>
      <c r="F69" s="33" t="s">
        <v>41</v>
      </c>
      <c r="G69" s="4" t="s">
        <v>2488</v>
      </c>
      <c r="H69" s="4"/>
      <c r="I69" s="4"/>
      <c r="J69" s="4"/>
      <c r="K69" s="4"/>
      <c r="L69" s="4">
        <v>16</v>
      </c>
      <c r="M69" s="33" t="s">
        <v>2489</v>
      </c>
      <c r="N69" s="4" t="s">
        <v>2490</v>
      </c>
      <c r="O69" s="4" t="s">
        <v>124</v>
      </c>
      <c r="P69" s="4" t="s">
        <v>35</v>
      </c>
      <c r="Q69" t="s">
        <v>125</v>
      </c>
      <c r="R69" t="s">
        <v>37</v>
      </c>
      <c r="S69" s="34" t="s">
        <v>125</v>
      </c>
      <c r="T69" s="14"/>
      <c r="AE69" s="2"/>
      <c r="AF69" s="2"/>
      <c r="AG69" s="2"/>
    </row>
    <row r="70" spans="1:33" ht="108" customHeight="1">
      <c r="A70" s="39">
        <v>356</v>
      </c>
      <c r="B70" s="4" t="s">
        <v>2491</v>
      </c>
      <c r="C70" s="4" t="s">
        <v>2492</v>
      </c>
      <c r="D70" s="4" t="s">
        <v>2493</v>
      </c>
      <c r="E70" s="4">
        <v>2024</v>
      </c>
      <c r="F70" s="4" t="s">
        <v>2494</v>
      </c>
      <c r="G70" s="4"/>
      <c r="H70" s="4"/>
      <c r="I70" s="4"/>
      <c r="J70" s="4"/>
      <c r="K70" s="4"/>
      <c r="L70" s="4">
        <v>10</v>
      </c>
      <c r="M70" s="4" t="s">
        <v>2495</v>
      </c>
      <c r="N70" s="4" t="s">
        <v>2496</v>
      </c>
      <c r="O70" s="4" t="s">
        <v>124</v>
      </c>
      <c r="P70" s="4" t="s">
        <v>35</v>
      </c>
      <c r="Q70" t="s">
        <v>125</v>
      </c>
      <c r="R70" t="s">
        <v>36</v>
      </c>
      <c r="S70" s="34" t="s">
        <v>125</v>
      </c>
      <c r="T70" s="72" t="s">
        <v>2885</v>
      </c>
      <c r="U70" s="14" t="s">
        <v>2886</v>
      </c>
      <c r="V70" s="14" t="s">
        <v>2585</v>
      </c>
      <c r="W70" s="14" t="s">
        <v>2887</v>
      </c>
      <c r="X70" s="14" t="s">
        <v>2888</v>
      </c>
      <c r="Y70" s="14" t="s">
        <v>2889</v>
      </c>
      <c r="Z70" t="s">
        <v>2890</v>
      </c>
      <c r="AA70" s="14" t="s">
        <v>2507</v>
      </c>
      <c r="AB70" s="14" t="s">
        <v>2805</v>
      </c>
      <c r="AC70" s="14" t="s">
        <v>2891</v>
      </c>
      <c r="AD70" s="14" t="s">
        <v>2892</v>
      </c>
      <c r="AE70" s="2" t="s">
        <v>2893</v>
      </c>
      <c r="AF70" s="2" t="s">
        <v>2894</v>
      </c>
      <c r="AG70" s="24" t="s">
        <v>2895</v>
      </c>
    </row>
    <row r="71" spans="1:33" ht="118.5" customHeight="1">
      <c r="A71" s="40">
        <v>357</v>
      </c>
      <c r="B71" s="26" t="s">
        <v>326</v>
      </c>
      <c r="C71" s="26" t="s">
        <v>329</v>
      </c>
      <c r="D71" s="26" t="s">
        <v>2497</v>
      </c>
      <c r="E71" s="26">
        <v>2023</v>
      </c>
      <c r="F71" s="26" t="s">
        <v>331</v>
      </c>
      <c r="G71" s="26"/>
      <c r="H71" s="26"/>
      <c r="I71" s="26"/>
      <c r="J71" s="26"/>
      <c r="K71" s="26"/>
      <c r="L71" s="26">
        <v>5</v>
      </c>
      <c r="M71" s="26" t="s">
        <v>332</v>
      </c>
      <c r="N71" s="26" t="s">
        <v>333</v>
      </c>
      <c r="O71" s="26" t="s">
        <v>124</v>
      </c>
      <c r="P71" s="26" t="s">
        <v>35</v>
      </c>
      <c r="Q71" t="s">
        <v>125</v>
      </c>
      <c r="R71" t="s">
        <v>36</v>
      </c>
      <c r="S71" s="35" t="s">
        <v>125</v>
      </c>
      <c r="T71" s="72" t="s">
        <v>2896</v>
      </c>
      <c r="U71" s="14" t="s">
        <v>2897</v>
      </c>
      <c r="V71" s="14" t="s">
        <v>2898</v>
      </c>
      <c r="W71" s="14" t="s">
        <v>2887</v>
      </c>
      <c r="X71" s="14" t="s">
        <v>2899</v>
      </c>
      <c r="Y71" s="14" t="s">
        <v>2900</v>
      </c>
      <c r="Z71" s="14" t="s">
        <v>2901</v>
      </c>
      <c r="AA71" s="14" t="s">
        <v>2508</v>
      </c>
      <c r="AB71" s="14" t="s">
        <v>2805</v>
      </c>
      <c r="AC71" s="14" t="s">
        <v>2902</v>
      </c>
      <c r="AD71" s="14" t="s">
        <v>2903</v>
      </c>
      <c r="AE71" s="2" t="s">
        <v>2904</v>
      </c>
      <c r="AF71" s="2" t="s">
        <v>2648</v>
      </c>
      <c r="AG71" s="2"/>
    </row>
  </sheetData>
  <dataValidations disablePrompts="1" count="1">
    <dataValidation type="list" allowBlank="1" showInputMessage="1" showErrorMessage="1" sqref="AA39" xr:uid="{7A827B60-4824-4527-8E33-80E2044B298A}">
      <formula1>#REF!</formula1>
    </dataValidation>
  </dataValidations>
  <hyperlinks>
    <hyperlink ref="N5" r:id="rId1" xr:uid="{0041A022-62C3-48C9-8FF5-B6082BBAF071}"/>
    <hyperlink ref="AG44" r:id="rId2" xr:uid="{411F784B-3375-4E46-B97D-76B381D64343}"/>
    <hyperlink ref="N3" r:id="rId3" xr:uid="{0E0ADAF0-7C23-4F6D-9B27-6916884C0F7D}"/>
    <hyperlink ref="N8" r:id="rId4" xr:uid="{8685A098-E79D-42B1-A83E-5F64417C3D5A}"/>
    <hyperlink ref="N9" r:id="rId5" xr:uid="{C38A6ACD-DBA4-45BC-BD20-90AD30BBA175}"/>
    <hyperlink ref="N25" r:id="rId6" xr:uid="{50D60E27-C424-447C-BEFE-7CCE883A9D02}"/>
    <hyperlink ref="N26" r:id="rId7" xr:uid="{D970F0CC-7F80-480B-A12A-A403E3356211}"/>
    <hyperlink ref="N27" r:id="rId8" xr:uid="{B4A7EB8E-63D4-44CA-879F-8DEC2286BF70}"/>
    <hyperlink ref="N28" r:id="rId9" xr:uid="{748001DA-90B4-412E-A633-62851A28FDB9}"/>
    <hyperlink ref="N29" r:id="rId10" xr:uid="{27FB4DBE-6C6D-47A8-82DA-69E952D3A9A2}"/>
    <hyperlink ref="N30" r:id="rId11" xr:uid="{BE3675C0-08D7-4617-B422-562510ED6240}"/>
    <hyperlink ref="N31" r:id="rId12" xr:uid="{A9805553-A697-4F27-8E3F-5B6C74A4D74A}"/>
    <hyperlink ref="N32" r:id="rId13" xr:uid="{7FA43C3D-D6A4-431C-8DAC-6AF14B4F3E75}"/>
    <hyperlink ref="N33" r:id="rId14" xr:uid="{FA9F82B2-EA92-4543-8B53-FFA1FE938F88}"/>
    <hyperlink ref="N34" r:id="rId15" xr:uid="{E725596E-71C7-4E45-BECF-B0B1D007F6B3}"/>
    <hyperlink ref="N35" r:id="rId16" xr:uid="{D0024459-09B5-49B1-8B3B-737D96A2C389}"/>
    <hyperlink ref="N36" r:id="rId17" xr:uid="{382B4E17-A970-4928-A1E0-DABC28A6ADD9}"/>
    <hyperlink ref="N37" r:id="rId18" xr:uid="{33BDAA52-BCDD-4796-A0A9-3002735C1350}"/>
    <hyperlink ref="AG68" r:id="rId19" xr:uid="{0710E053-8F75-452A-B3D6-366F60124282}"/>
    <hyperlink ref="AG70" r:id="rId20" xr:uid="{98E91999-975A-49A1-BD50-872FC00AB5BA}"/>
  </hyperlinks>
  <pageMargins left="0.7" right="0.7" top="0.75" bottom="0.75" header="0.3" footer="0.3"/>
  <pageSetup paperSize="9" orientation="portrait" r:id="rId21"/>
  <legacyDrawing r:id="rId22"/>
  <tableParts count="1">
    <tablePart r:id="rId2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E3B6D-4C09-BF49-BFC7-AD464266BE26}">
  <sheetPr>
    <tabColor theme="9" tint="0.39997558519241921"/>
  </sheetPr>
  <dimension ref="A1"/>
  <sheetViews>
    <sheetView workbookViewId="0">
      <selection activeCell="D11" sqref="D11"/>
    </sheetView>
  </sheetViews>
  <sheetFormatPr defaultColWidth="10.81640625" defaultRowHeight="14.5"/>
  <cols>
    <col min="1" max="1" width="95.26953125" customWidth="1"/>
  </cols>
  <sheetData>
    <row r="1" spans="1:1">
      <c r="A1" s="150" t="s">
        <v>3513</v>
      </c>
    </row>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C7DC9-5291-5E48-849C-26D8A9898540}">
  <sheetPr codeName="Tabelle16">
    <tabColor theme="9" tint="0.79998168889431442"/>
  </sheetPr>
  <dimension ref="A1:AD40"/>
  <sheetViews>
    <sheetView workbookViewId="0">
      <selection activeCell="AA2" sqref="AA2"/>
    </sheetView>
  </sheetViews>
  <sheetFormatPr defaultColWidth="8.81640625" defaultRowHeight="15" customHeight="1"/>
  <cols>
    <col min="1" max="1" width="33.1796875" style="74" bestFit="1" customWidth="1"/>
    <col min="2" max="27" width="3.81640625" style="85" customWidth="1"/>
    <col min="28" max="28" width="62.453125" customWidth="1"/>
    <col min="29" max="29" width="24.1796875" customWidth="1"/>
    <col min="30" max="30" width="43.453125" customWidth="1"/>
  </cols>
  <sheetData>
    <row r="1" spans="1:30" s="102" customFormat="1" ht="14.5">
      <c r="A1" s="100" t="s">
        <v>3241</v>
      </c>
      <c r="B1" s="101">
        <v>36</v>
      </c>
      <c r="C1" s="101">
        <v>53</v>
      </c>
      <c r="D1" s="101">
        <v>64</v>
      </c>
      <c r="E1" s="101">
        <v>74</v>
      </c>
      <c r="F1" s="101">
        <v>93</v>
      </c>
      <c r="G1" s="101">
        <v>112</v>
      </c>
      <c r="H1" s="101">
        <v>130</v>
      </c>
      <c r="I1" s="101">
        <v>140</v>
      </c>
      <c r="J1" s="101">
        <v>145</v>
      </c>
      <c r="K1" s="101">
        <v>158</v>
      </c>
      <c r="L1" s="101">
        <v>181</v>
      </c>
      <c r="M1" s="101">
        <v>213</v>
      </c>
      <c r="N1" s="101">
        <v>258</v>
      </c>
      <c r="O1" s="101">
        <v>262</v>
      </c>
      <c r="P1" s="101">
        <v>274</v>
      </c>
      <c r="Q1" s="101">
        <v>277</v>
      </c>
      <c r="R1" s="101">
        <v>297</v>
      </c>
      <c r="S1" s="101">
        <v>299</v>
      </c>
      <c r="T1" s="101">
        <v>302</v>
      </c>
      <c r="U1" s="101">
        <v>304</v>
      </c>
      <c r="V1" s="101">
        <v>307</v>
      </c>
      <c r="W1" s="101">
        <v>325</v>
      </c>
      <c r="X1" s="101">
        <v>326</v>
      </c>
      <c r="Y1" s="101">
        <v>336</v>
      </c>
      <c r="Z1" s="101">
        <v>356</v>
      </c>
      <c r="AA1" s="101">
        <v>357</v>
      </c>
      <c r="AB1" s="102" t="s">
        <v>3129</v>
      </c>
    </row>
    <row r="2" spans="1:30" ht="14.5">
      <c r="A2" s="74" t="s">
        <v>3243</v>
      </c>
      <c r="D2" s="85" t="s">
        <v>2484</v>
      </c>
      <c r="J2" s="85" t="s">
        <v>2484</v>
      </c>
      <c r="AA2" s="85" t="s">
        <v>2484</v>
      </c>
      <c r="AB2" t="s">
        <v>3244</v>
      </c>
    </row>
    <row r="3" spans="1:30" ht="14.5">
      <c r="A3" s="74" t="s">
        <v>3245</v>
      </c>
      <c r="K3" s="85" t="s">
        <v>2484</v>
      </c>
      <c r="Q3" s="85" t="s">
        <v>2484</v>
      </c>
      <c r="V3" s="85" t="s">
        <v>2484</v>
      </c>
      <c r="Y3" s="85" t="s">
        <v>2484</v>
      </c>
    </row>
    <row r="4" spans="1:30" ht="14.5">
      <c r="A4" s="74" t="s">
        <v>3246</v>
      </c>
      <c r="K4" s="85" t="s">
        <v>2484</v>
      </c>
    </row>
    <row r="5" spans="1:30" ht="14.5">
      <c r="A5" s="74" t="s">
        <v>3247</v>
      </c>
      <c r="I5" s="85" t="s">
        <v>2484</v>
      </c>
      <c r="L5" s="85" t="s">
        <v>2484</v>
      </c>
      <c r="P5" s="85" t="s">
        <v>2484</v>
      </c>
      <c r="Z5" s="85" t="s">
        <v>2484</v>
      </c>
      <c r="AB5" t="s">
        <v>3248</v>
      </c>
    </row>
    <row r="6" spans="1:30" ht="14.5">
      <c r="A6" s="74" t="s">
        <v>3249</v>
      </c>
      <c r="L6" s="85" t="s">
        <v>2484</v>
      </c>
    </row>
    <row r="7" spans="1:30" ht="14.5">
      <c r="A7" s="74" t="s">
        <v>3250</v>
      </c>
      <c r="F7" s="85" t="s">
        <v>2484</v>
      </c>
      <c r="M7" s="85" t="s">
        <v>2484</v>
      </c>
      <c r="Q7" s="85" t="s">
        <v>2484</v>
      </c>
      <c r="T7" s="85" t="s">
        <v>2484</v>
      </c>
      <c r="V7" s="85" t="s">
        <v>2484</v>
      </c>
    </row>
    <row r="8" spans="1:30" ht="14.5">
      <c r="A8" s="74" t="s">
        <v>3251</v>
      </c>
      <c r="N8" s="85" t="s">
        <v>2484</v>
      </c>
      <c r="U8" s="85" t="s">
        <v>2484</v>
      </c>
      <c r="AB8" t="s">
        <v>3252</v>
      </c>
    </row>
    <row r="9" spans="1:30" ht="14.5">
      <c r="A9" s="74" t="s">
        <v>3253</v>
      </c>
      <c r="I9" s="85" t="s">
        <v>2484</v>
      </c>
      <c r="N9" s="85" t="s">
        <v>2484</v>
      </c>
      <c r="W9" s="85" t="s">
        <v>2484</v>
      </c>
      <c r="Z9" s="85" t="s">
        <v>2484</v>
      </c>
    </row>
    <row r="10" spans="1:30" ht="14.5">
      <c r="A10" s="74" t="s">
        <v>3254</v>
      </c>
      <c r="N10" s="85" t="s">
        <v>2484</v>
      </c>
      <c r="P10" s="85" t="s">
        <v>2484</v>
      </c>
      <c r="AB10" t="s">
        <v>3255</v>
      </c>
    </row>
    <row r="11" spans="1:30" ht="14.5">
      <c r="A11" s="74" t="s">
        <v>3256</v>
      </c>
      <c r="D11" s="85" t="s">
        <v>2484</v>
      </c>
      <c r="AB11" t="s">
        <v>3257</v>
      </c>
    </row>
    <row r="12" spans="1:30" ht="14.5">
      <c r="A12" s="74" t="s">
        <v>2779</v>
      </c>
      <c r="O12" s="85" t="s">
        <v>2484</v>
      </c>
    </row>
    <row r="13" spans="1:30" ht="14.5">
      <c r="A13" s="74" t="s">
        <v>3258</v>
      </c>
      <c r="B13" s="85" t="s">
        <v>2484</v>
      </c>
      <c r="AD13" s="97"/>
    </row>
    <row r="14" spans="1:30" ht="14.5">
      <c r="A14" s="74" t="s">
        <v>3259</v>
      </c>
      <c r="C14" s="85" t="s">
        <v>2484</v>
      </c>
      <c r="AB14" s="95" t="s">
        <v>3260</v>
      </c>
    </row>
    <row r="15" spans="1:30" ht="14.5">
      <c r="A15" s="74" t="s">
        <v>3261</v>
      </c>
      <c r="C15" s="85" t="s">
        <v>2484</v>
      </c>
    </row>
    <row r="16" spans="1:30" ht="14.5">
      <c r="A16" s="74" t="s">
        <v>3262</v>
      </c>
      <c r="E16" s="85" t="s">
        <v>2484</v>
      </c>
      <c r="AB16" t="s">
        <v>3263</v>
      </c>
    </row>
    <row r="17" spans="1:30" ht="14.5">
      <c r="A17" s="74" t="s">
        <v>3264</v>
      </c>
      <c r="E17" s="85" t="s">
        <v>2484</v>
      </c>
    </row>
    <row r="18" spans="1:30" ht="14.5">
      <c r="A18" s="74" t="s">
        <v>3265</v>
      </c>
      <c r="G18" s="85" t="s">
        <v>2484</v>
      </c>
      <c r="R18" s="85" t="s">
        <v>2484</v>
      </c>
      <c r="AB18" t="s">
        <v>3266</v>
      </c>
    </row>
    <row r="19" spans="1:30" ht="14.5">
      <c r="A19" s="74" t="s">
        <v>3267</v>
      </c>
      <c r="G19" s="85" t="s">
        <v>2484</v>
      </c>
      <c r="R19" s="85" t="s">
        <v>2484</v>
      </c>
      <c r="AA19" s="85" t="s">
        <v>2484</v>
      </c>
      <c r="AB19" t="s">
        <v>3268</v>
      </c>
    </row>
    <row r="20" spans="1:30" ht="14.5">
      <c r="A20" s="74" t="s">
        <v>3269</v>
      </c>
    </row>
    <row r="21" spans="1:30" ht="14.5">
      <c r="A21" s="74" t="s">
        <v>3270</v>
      </c>
      <c r="H21" s="85" t="s">
        <v>2484</v>
      </c>
      <c r="AB21" t="s">
        <v>3271</v>
      </c>
    </row>
    <row r="22" spans="1:30" ht="14.5">
      <c r="A22" s="74" t="s">
        <v>3272</v>
      </c>
      <c r="H22" s="85" t="s">
        <v>2484</v>
      </c>
      <c r="I22" s="85" t="s">
        <v>2484</v>
      </c>
      <c r="R22" s="85" t="s">
        <v>2484</v>
      </c>
      <c r="AA22" s="85" t="s">
        <v>2484</v>
      </c>
      <c r="AB22" t="s">
        <v>3273</v>
      </c>
    </row>
    <row r="23" spans="1:30" ht="14.5">
      <c r="A23" s="74" t="s">
        <v>3274</v>
      </c>
      <c r="C23" s="85" t="s">
        <v>2484</v>
      </c>
      <c r="I23" s="85" t="s">
        <v>2484</v>
      </c>
      <c r="AD23" s="97"/>
    </row>
    <row r="24" spans="1:30" ht="14.5">
      <c r="A24" s="74" t="s">
        <v>3275</v>
      </c>
      <c r="I24" s="85" t="s">
        <v>2484</v>
      </c>
    </row>
    <row r="25" spans="1:30" ht="14.5">
      <c r="A25" s="74" t="s">
        <v>3276</v>
      </c>
      <c r="I25" s="85" t="s">
        <v>2484</v>
      </c>
    </row>
    <row r="26" spans="1:30" ht="14.5">
      <c r="A26" s="74" t="s">
        <v>3277</v>
      </c>
      <c r="I26" s="85" t="s">
        <v>2484</v>
      </c>
    </row>
    <row r="27" spans="1:30" ht="14.5">
      <c r="A27" s="74" t="s">
        <v>3278</v>
      </c>
      <c r="C27" s="85" t="s">
        <v>2484</v>
      </c>
      <c r="AD27" s="97"/>
    </row>
    <row r="28" spans="1:30" ht="15" customHeight="1">
      <c r="A28" s="74" t="s">
        <v>3279</v>
      </c>
      <c r="R28" s="85" t="s">
        <v>2484</v>
      </c>
    </row>
    <row r="29" spans="1:30" ht="15" customHeight="1">
      <c r="A29" s="74" t="s">
        <v>3280</v>
      </c>
      <c r="R29" s="85" t="s">
        <v>2484</v>
      </c>
      <c r="AA29" s="85" t="s">
        <v>2484</v>
      </c>
      <c r="AB29" t="s">
        <v>3281</v>
      </c>
    </row>
    <row r="30" spans="1:30" ht="15" customHeight="1">
      <c r="A30" s="74" t="s">
        <v>3282</v>
      </c>
      <c r="R30" s="85" t="s">
        <v>2484</v>
      </c>
      <c r="AA30" s="85" t="s">
        <v>2484</v>
      </c>
      <c r="AB30" t="s">
        <v>3281</v>
      </c>
    </row>
    <row r="31" spans="1:30" ht="15" customHeight="1">
      <c r="A31" s="74" t="s">
        <v>2814</v>
      </c>
      <c r="S31" s="85" t="s">
        <v>2484</v>
      </c>
    </row>
    <row r="32" spans="1:30" ht="15" customHeight="1">
      <c r="A32" s="74" t="s">
        <v>3283</v>
      </c>
      <c r="T32" s="85" t="s">
        <v>2484</v>
      </c>
    </row>
    <row r="33" spans="1:28" ht="15" customHeight="1">
      <c r="A33" s="74" t="s">
        <v>3284</v>
      </c>
      <c r="T33" s="85" t="s">
        <v>2484</v>
      </c>
    </row>
    <row r="34" spans="1:28" ht="15" customHeight="1">
      <c r="A34" s="74" t="s">
        <v>3285</v>
      </c>
      <c r="V34" s="85" t="s">
        <v>2484</v>
      </c>
    </row>
    <row r="35" spans="1:28" ht="15" customHeight="1">
      <c r="A35" s="74" t="s">
        <v>3286</v>
      </c>
      <c r="V35" s="85" t="s">
        <v>2484</v>
      </c>
    </row>
    <row r="36" spans="1:28" ht="15" customHeight="1">
      <c r="A36" s="74" t="s">
        <v>3287</v>
      </c>
      <c r="W36" s="85" t="s">
        <v>2484</v>
      </c>
    </row>
    <row r="37" spans="1:28" ht="15" customHeight="1">
      <c r="A37" s="74" t="s">
        <v>3288</v>
      </c>
      <c r="W37" s="85" t="s">
        <v>2484</v>
      </c>
    </row>
    <row r="38" spans="1:28" ht="15" customHeight="1">
      <c r="A38" s="74" t="s">
        <v>3289</v>
      </c>
      <c r="W38" s="85" t="s">
        <v>2484</v>
      </c>
    </row>
    <row r="39" spans="1:28" ht="15" customHeight="1">
      <c r="A39" s="74" t="s">
        <v>3290</v>
      </c>
      <c r="X39" s="85" t="s">
        <v>2484</v>
      </c>
    </row>
    <row r="40" spans="1:28" ht="15" customHeight="1">
      <c r="A40" s="74" t="s">
        <v>3291</v>
      </c>
      <c r="AA40" s="85" t="s">
        <v>2484</v>
      </c>
      <c r="AB40" t="s">
        <v>3281</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CC3E5-1391-5849-8165-B34E1324B158}">
  <sheetPr codeName="Tabelle17">
    <tabColor theme="9" tint="0.79998168889431442"/>
  </sheetPr>
  <dimension ref="A1:AD26"/>
  <sheetViews>
    <sheetView workbookViewId="0">
      <selection activeCell="AA2" sqref="AA2"/>
    </sheetView>
  </sheetViews>
  <sheetFormatPr defaultColWidth="8.6328125" defaultRowHeight="14.5"/>
  <cols>
    <col min="1" max="1" width="59.81640625" style="78" customWidth="1"/>
    <col min="2" max="16" width="3.81640625" style="84" customWidth="1"/>
    <col min="17" max="27" width="3.81640625" style="85" customWidth="1"/>
    <col min="28" max="28" width="100.6328125" style="2" customWidth="1"/>
    <col min="29" max="29" width="56.81640625" style="2" customWidth="1"/>
    <col min="30" max="30" width="30.36328125" style="2" customWidth="1"/>
    <col min="31" max="16384" width="8.6328125" style="2"/>
  </cols>
  <sheetData>
    <row r="1" spans="1:30" s="106" customFormat="1">
      <c r="A1" s="103" t="s">
        <v>3292</v>
      </c>
      <c r="B1" s="104">
        <v>36</v>
      </c>
      <c r="C1" s="104">
        <v>53</v>
      </c>
      <c r="D1" s="104">
        <v>64</v>
      </c>
      <c r="E1" s="104">
        <v>74</v>
      </c>
      <c r="F1" s="104">
        <v>93</v>
      </c>
      <c r="G1" s="104">
        <v>112</v>
      </c>
      <c r="H1" s="104">
        <v>130</v>
      </c>
      <c r="I1" s="104">
        <v>140</v>
      </c>
      <c r="J1" s="104">
        <v>145</v>
      </c>
      <c r="K1" s="104">
        <v>158</v>
      </c>
      <c r="L1" s="104">
        <v>181</v>
      </c>
      <c r="M1" s="104">
        <v>213</v>
      </c>
      <c r="N1" s="104">
        <v>258</v>
      </c>
      <c r="O1" s="104">
        <v>262</v>
      </c>
      <c r="P1" s="104">
        <v>274</v>
      </c>
      <c r="Q1" s="105">
        <v>277</v>
      </c>
      <c r="R1" s="105">
        <v>297</v>
      </c>
      <c r="S1" s="105">
        <v>299</v>
      </c>
      <c r="T1" s="105">
        <v>302</v>
      </c>
      <c r="U1" s="105">
        <v>304</v>
      </c>
      <c r="V1" s="105">
        <v>307</v>
      </c>
      <c r="W1" s="105">
        <v>325</v>
      </c>
      <c r="X1" s="105">
        <v>326</v>
      </c>
      <c r="Y1" s="105">
        <v>336</v>
      </c>
      <c r="Z1" s="105">
        <v>356</v>
      </c>
      <c r="AA1" s="105">
        <v>357</v>
      </c>
      <c r="AB1" s="106" t="s">
        <v>3109</v>
      </c>
      <c r="AC1" s="106" t="s">
        <v>3242</v>
      </c>
      <c r="AD1" s="106" t="s">
        <v>15</v>
      </c>
    </row>
    <row r="2" spans="1:30" s="83" customFormat="1">
      <c r="A2" s="79" t="s">
        <v>3377</v>
      </c>
      <c r="B2" s="80"/>
      <c r="C2" s="80"/>
      <c r="D2" s="80"/>
      <c r="E2" s="80"/>
      <c r="F2" s="80"/>
      <c r="G2" s="80"/>
      <c r="H2" s="80"/>
      <c r="I2" s="80"/>
      <c r="J2" s="80"/>
      <c r="K2" s="80"/>
      <c r="L2" s="80"/>
      <c r="M2" s="80"/>
      <c r="N2" s="80"/>
      <c r="O2" s="80"/>
      <c r="P2" s="80"/>
      <c r="Q2" s="81"/>
      <c r="R2" s="81"/>
      <c r="S2" s="81"/>
      <c r="T2" s="81"/>
      <c r="U2" s="81"/>
      <c r="V2" s="81"/>
      <c r="W2" s="81"/>
      <c r="X2" s="81"/>
      <c r="Y2" s="81"/>
      <c r="Z2" s="81"/>
      <c r="AA2" s="81"/>
      <c r="AB2" s="82"/>
      <c r="AC2" s="82"/>
      <c r="AD2" s="82"/>
    </row>
    <row r="3" spans="1:30">
      <c r="A3" s="78" t="s">
        <v>3300</v>
      </c>
      <c r="B3" s="84" t="s">
        <v>2484</v>
      </c>
      <c r="H3" s="84" t="s">
        <v>2484</v>
      </c>
      <c r="I3" s="84" t="s">
        <v>2484</v>
      </c>
      <c r="M3" s="84" t="s">
        <v>2484</v>
      </c>
      <c r="N3" s="84" t="s">
        <v>2484</v>
      </c>
      <c r="P3" s="84" t="s">
        <v>2484</v>
      </c>
      <c r="R3" s="85" t="s">
        <v>2484</v>
      </c>
      <c r="AA3" s="85" t="s">
        <v>2484</v>
      </c>
    </row>
    <row r="4" spans="1:30">
      <c r="A4" s="78" t="s">
        <v>3301</v>
      </c>
      <c r="B4" s="84" t="s">
        <v>2484</v>
      </c>
    </row>
    <row r="5" spans="1:30">
      <c r="A5" s="78" t="s">
        <v>3302</v>
      </c>
      <c r="B5" s="84" t="s">
        <v>2484</v>
      </c>
      <c r="F5" s="84" t="s">
        <v>2484</v>
      </c>
      <c r="H5" s="84" t="s">
        <v>2484</v>
      </c>
      <c r="I5" s="84" t="s">
        <v>2484</v>
      </c>
      <c r="M5" s="84" t="s">
        <v>2484</v>
      </c>
      <c r="N5" s="84" t="s">
        <v>2484</v>
      </c>
      <c r="R5" s="85" t="s">
        <v>2484</v>
      </c>
      <c r="U5" s="85" t="s">
        <v>2484</v>
      </c>
      <c r="X5" s="85" t="s">
        <v>2484</v>
      </c>
      <c r="AA5" s="85" t="s">
        <v>2484</v>
      </c>
    </row>
    <row r="6" spans="1:30">
      <c r="A6" s="78" t="s">
        <v>3303</v>
      </c>
      <c r="B6" s="84" t="s">
        <v>2484</v>
      </c>
      <c r="F6" s="84" t="s">
        <v>2484</v>
      </c>
      <c r="H6" s="84" t="s">
        <v>2484</v>
      </c>
      <c r="I6" s="84" t="s">
        <v>2484</v>
      </c>
      <c r="M6" s="84" t="s">
        <v>2484</v>
      </c>
      <c r="N6" s="84" t="s">
        <v>2484</v>
      </c>
      <c r="R6" s="85" t="s">
        <v>2484</v>
      </c>
      <c r="X6" s="85" t="s">
        <v>2484</v>
      </c>
      <c r="AA6" s="85" t="s">
        <v>2484</v>
      </c>
    </row>
    <row r="7" spans="1:30">
      <c r="A7" s="78" t="s">
        <v>3304</v>
      </c>
      <c r="G7" s="84" t="s">
        <v>2484</v>
      </c>
      <c r="R7" s="85" t="s">
        <v>2484</v>
      </c>
      <c r="U7" s="85" t="s">
        <v>2484</v>
      </c>
      <c r="Y7" s="85" t="s">
        <v>2484</v>
      </c>
      <c r="AA7" s="85" t="s">
        <v>2484</v>
      </c>
    </row>
    <row r="8" spans="1:30">
      <c r="A8" s="78" t="s">
        <v>3099</v>
      </c>
      <c r="M8" s="84" t="s">
        <v>2484</v>
      </c>
    </row>
    <row r="9" spans="1:30" s="89" customFormat="1">
      <c r="A9" s="86" t="s">
        <v>3299</v>
      </c>
      <c r="B9" s="87"/>
      <c r="C9" s="87"/>
      <c r="D9" s="87"/>
      <c r="E9" s="87"/>
      <c r="F9" s="87"/>
      <c r="G9" s="87"/>
      <c r="H9" s="87"/>
      <c r="I9" s="87"/>
      <c r="J9" s="87"/>
      <c r="K9" s="87"/>
      <c r="L9" s="87"/>
      <c r="M9" s="87"/>
      <c r="N9" s="87"/>
      <c r="O9" s="87"/>
      <c r="P9" s="87"/>
      <c r="Q9" s="88"/>
      <c r="R9" s="88"/>
      <c r="S9" s="88"/>
      <c r="T9" s="88"/>
      <c r="U9" s="88"/>
      <c r="V9" s="88"/>
      <c r="W9" s="88" t="s">
        <v>2484</v>
      </c>
      <c r="X9" s="88"/>
      <c r="Y9" s="88"/>
      <c r="Z9" s="88"/>
      <c r="AA9" s="88"/>
    </row>
    <row r="10" spans="1:30" s="83" customFormat="1">
      <c r="A10" s="79" t="s">
        <v>3378</v>
      </c>
      <c r="B10" s="80"/>
      <c r="C10" s="80"/>
      <c r="D10" s="80"/>
      <c r="E10" s="80"/>
      <c r="F10" s="80"/>
      <c r="G10" s="80"/>
      <c r="H10" s="80"/>
      <c r="I10" s="80"/>
      <c r="J10" s="80"/>
      <c r="K10" s="80"/>
      <c r="L10" s="80"/>
      <c r="M10" s="80"/>
      <c r="N10" s="80"/>
      <c r="O10" s="80"/>
      <c r="P10" s="80"/>
      <c r="Q10" s="81"/>
      <c r="R10" s="81"/>
      <c r="S10" s="81"/>
      <c r="T10" s="81"/>
      <c r="U10" s="81"/>
      <c r="V10" s="81"/>
      <c r="W10" s="81"/>
      <c r="X10" s="81"/>
      <c r="Y10" s="81"/>
      <c r="Z10" s="81"/>
      <c r="AA10" s="81"/>
      <c r="AB10" s="82"/>
      <c r="AC10" s="82"/>
      <c r="AD10" s="82"/>
    </row>
    <row r="11" spans="1:30">
      <c r="A11" s="78" t="s">
        <v>3293</v>
      </c>
      <c r="E11" s="84" t="s">
        <v>2484</v>
      </c>
      <c r="J11" s="90" t="s">
        <v>2484</v>
      </c>
      <c r="M11" s="84" t="s">
        <v>2484</v>
      </c>
      <c r="AB11" s="2" t="s">
        <v>3294</v>
      </c>
    </row>
    <row r="12" spans="1:30">
      <c r="A12" s="78" t="s">
        <v>3297</v>
      </c>
      <c r="L12" s="84" t="s">
        <v>2484</v>
      </c>
      <c r="AB12" s="2" t="s">
        <v>3298</v>
      </c>
    </row>
    <row r="13" spans="1:30">
      <c r="A13" s="78" t="s">
        <v>3314</v>
      </c>
      <c r="Q13" s="85" t="s">
        <v>2484</v>
      </c>
      <c r="AB13" s="2" t="s">
        <v>3315</v>
      </c>
      <c r="AD13" s="91"/>
    </row>
    <row r="14" spans="1:30">
      <c r="A14" s="78" t="s">
        <v>3306</v>
      </c>
      <c r="S14" s="85" t="s">
        <v>2484</v>
      </c>
    </row>
    <row r="15" spans="1:30" s="89" customFormat="1">
      <c r="A15" s="86" t="s">
        <v>3295</v>
      </c>
      <c r="B15" s="87"/>
      <c r="C15" s="87"/>
      <c r="D15" s="87"/>
      <c r="E15" s="87"/>
      <c r="F15" s="87"/>
      <c r="G15" s="87"/>
      <c r="H15" s="87"/>
      <c r="I15" s="87"/>
      <c r="J15" s="87"/>
      <c r="K15" s="87" t="s">
        <v>2484</v>
      </c>
      <c r="L15" s="87"/>
      <c r="M15" s="87"/>
      <c r="N15" s="87"/>
      <c r="O15" s="87"/>
      <c r="P15" s="87"/>
      <c r="Q15" s="88"/>
      <c r="R15" s="88"/>
      <c r="S15" s="88"/>
      <c r="T15" s="88"/>
      <c r="U15" s="88"/>
      <c r="V15" s="88"/>
      <c r="W15" s="88"/>
      <c r="X15" s="88"/>
      <c r="Y15" s="88"/>
      <c r="Z15" s="88"/>
      <c r="AA15" s="88"/>
      <c r="AB15" s="86" t="s">
        <v>3296</v>
      </c>
    </row>
    <row r="16" spans="1:30" s="83" customFormat="1">
      <c r="A16" s="79" t="s">
        <v>3380</v>
      </c>
      <c r="B16" s="80"/>
      <c r="C16" s="80"/>
      <c r="D16" s="80"/>
      <c r="E16" s="80"/>
      <c r="F16" s="80"/>
      <c r="G16" s="80"/>
      <c r="H16" s="80"/>
      <c r="I16" s="80"/>
      <c r="J16" s="80"/>
      <c r="K16" s="80"/>
      <c r="L16" s="80"/>
      <c r="M16" s="80"/>
      <c r="N16" s="80"/>
      <c r="O16" s="80"/>
      <c r="P16" s="80"/>
      <c r="Q16" s="81"/>
      <c r="R16" s="81"/>
      <c r="S16" s="81"/>
      <c r="T16" s="81"/>
      <c r="U16" s="81"/>
      <c r="V16" s="81"/>
      <c r="W16" s="81"/>
      <c r="X16" s="81"/>
      <c r="Y16" s="81"/>
      <c r="Z16" s="81"/>
      <c r="AA16" s="81"/>
      <c r="AB16" s="82"/>
      <c r="AC16" s="82"/>
      <c r="AD16" s="82"/>
    </row>
    <row r="17" spans="1:30">
      <c r="A17" s="78" t="s">
        <v>3305</v>
      </c>
      <c r="M17" s="84" t="s">
        <v>2484</v>
      </c>
    </row>
    <row r="18" spans="1:30">
      <c r="A18" s="78" t="s">
        <v>3316</v>
      </c>
      <c r="V18" s="85" t="s">
        <v>2484</v>
      </c>
      <c r="AB18" s="2" t="s">
        <v>2835</v>
      </c>
      <c r="AD18" s="91"/>
    </row>
    <row r="19" spans="1:30" s="89" customFormat="1">
      <c r="A19" s="86" t="s">
        <v>3321</v>
      </c>
      <c r="B19" s="87"/>
      <c r="C19" s="87"/>
      <c r="D19" s="87"/>
      <c r="E19" s="87"/>
      <c r="F19" s="87"/>
      <c r="G19" s="87"/>
      <c r="H19" s="87"/>
      <c r="I19" s="87"/>
      <c r="J19" s="87"/>
      <c r="K19" s="87"/>
      <c r="L19" s="87"/>
      <c r="M19" s="87"/>
      <c r="N19" s="87"/>
      <c r="O19" s="87"/>
      <c r="P19" s="87"/>
      <c r="Q19" s="88"/>
      <c r="R19" s="88"/>
      <c r="S19" s="88"/>
      <c r="T19" s="88" t="s">
        <v>2484</v>
      </c>
      <c r="U19" s="88"/>
      <c r="V19" s="88"/>
      <c r="W19" s="88"/>
      <c r="X19" s="88"/>
      <c r="Y19" s="88"/>
      <c r="Z19" s="88"/>
      <c r="AA19" s="88"/>
      <c r="AD19" s="92"/>
    </row>
    <row r="20" spans="1:30" s="83" customFormat="1">
      <c r="A20" s="79" t="s">
        <v>3379</v>
      </c>
      <c r="B20" s="80"/>
      <c r="C20" s="80"/>
      <c r="D20" s="80"/>
      <c r="E20" s="80"/>
      <c r="F20" s="80"/>
      <c r="G20" s="80"/>
      <c r="H20" s="80"/>
      <c r="I20" s="80"/>
      <c r="J20" s="80"/>
      <c r="K20" s="80"/>
      <c r="L20" s="80"/>
      <c r="M20" s="80"/>
      <c r="N20" s="80"/>
      <c r="O20" s="80"/>
      <c r="P20" s="80"/>
      <c r="Q20" s="81"/>
      <c r="R20" s="81"/>
      <c r="S20" s="81"/>
      <c r="T20" s="81"/>
      <c r="U20" s="81"/>
      <c r="V20" s="81"/>
      <c r="W20" s="81"/>
      <c r="X20" s="81"/>
      <c r="Y20" s="81"/>
      <c r="Z20" s="81"/>
      <c r="AA20" s="81"/>
      <c r="AB20" s="82"/>
      <c r="AC20" s="82"/>
      <c r="AD20" s="82"/>
    </row>
    <row r="21" spans="1:30">
      <c r="A21" s="78" t="s">
        <v>3307</v>
      </c>
      <c r="C21" s="84" t="s">
        <v>2484</v>
      </c>
      <c r="AB21" s="2" t="s">
        <v>3308</v>
      </c>
      <c r="AC21" s="2" t="s">
        <v>3309</v>
      </c>
      <c r="AD21" s="91" t="s">
        <v>3310</v>
      </c>
    </row>
    <row r="22" spans="1:30">
      <c r="A22" s="78" t="s">
        <v>3311</v>
      </c>
      <c r="C22" s="84" t="s">
        <v>2484</v>
      </c>
      <c r="AB22" s="2" t="s">
        <v>3308</v>
      </c>
      <c r="AC22" s="2" t="s">
        <v>3312</v>
      </c>
      <c r="AD22" s="91" t="s">
        <v>3313</v>
      </c>
    </row>
    <row r="23" spans="1:30" ht="31" customHeight="1">
      <c r="A23" s="78" t="s">
        <v>3317</v>
      </c>
      <c r="Z23" s="85" t="s">
        <v>2484</v>
      </c>
      <c r="AB23" s="14" t="s">
        <v>3318</v>
      </c>
      <c r="AD23" s="91"/>
    </row>
    <row r="24" spans="1:30" s="89" customFormat="1" ht="31" customHeight="1">
      <c r="A24" s="86" t="s">
        <v>3319</v>
      </c>
      <c r="B24" s="87"/>
      <c r="C24" s="87"/>
      <c r="D24" s="87"/>
      <c r="E24" s="87"/>
      <c r="F24" s="87"/>
      <c r="G24" s="87"/>
      <c r="H24" s="87"/>
      <c r="I24" s="87"/>
      <c r="J24" s="87"/>
      <c r="K24" s="87"/>
      <c r="L24" s="87"/>
      <c r="M24" s="87"/>
      <c r="N24" s="87"/>
      <c r="O24" s="87"/>
      <c r="P24" s="87"/>
      <c r="Q24" s="88"/>
      <c r="R24" s="88"/>
      <c r="S24" s="88"/>
      <c r="T24" s="88"/>
      <c r="U24" s="88"/>
      <c r="V24" s="88"/>
      <c r="W24" s="88"/>
      <c r="X24" s="88"/>
      <c r="Y24" s="88"/>
      <c r="Z24" s="88" t="s">
        <v>2484</v>
      </c>
      <c r="AA24" s="88"/>
      <c r="AB24" s="93" t="s">
        <v>3320</v>
      </c>
      <c r="AD24" s="92"/>
    </row>
    <row r="25" spans="1:30">
      <c r="A25" s="78" t="s">
        <v>2680</v>
      </c>
      <c r="D25" s="84" t="s">
        <v>2484</v>
      </c>
      <c r="AB25" s="2" t="s">
        <v>3322</v>
      </c>
    </row>
    <row r="26" spans="1:30">
      <c r="A26" s="78" t="s">
        <v>3323</v>
      </c>
      <c r="O26" s="84" t="s">
        <v>2484</v>
      </c>
    </row>
  </sheetData>
  <hyperlinks>
    <hyperlink ref="AD21" r:id="rId1" xr:uid="{C6117102-9D68-344B-91E8-67967B52E3D5}"/>
    <hyperlink ref="AD22" r:id="rId2" xr:uid="{AF476D3A-CDD4-B442-B2C1-CD3826B93015}"/>
  </hyperlinks>
  <pageMargins left="0.7" right="0.7" top="0.75" bottom="0.75" header="0.3" footer="0.3"/>
  <pageSetup paperSize="9" orientation="portrait"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C8292-9DE2-654D-BB4D-D3D210268C09}">
  <sheetPr>
    <tabColor theme="9" tint="0.39997558519241921"/>
  </sheetPr>
  <dimension ref="A1"/>
  <sheetViews>
    <sheetView workbookViewId="0"/>
  </sheetViews>
  <sheetFormatPr defaultColWidth="10.81640625" defaultRowHeight="14.5"/>
  <cols>
    <col min="1" max="1" width="99.54296875" bestFit="1" customWidth="1"/>
  </cols>
  <sheetData>
    <row r="1" spans="1:1">
      <c r="A1" s="150" t="s">
        <v>3514</v>
      </c>
    </row>
  </sheetData>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88BDA-E1C0-B84D-A23B-3B4D7711D947}">
  <sheetPr codeName="Tabelle10">
    <tabColor theme="9" tint="0.79998168889431442"/>
  </sheetPr>
  <dimension ref="A1:AD82"/>
  <sheetViews>
    <sheetView workbookViewId="0">
      <pane ySplit="1" topLeftCell="A35" activePane="bottomLeft" state="frozen"/>
      <selection activeCell="D28" sqref="D28"/>
      <selection pane="bottomLeft" activeCell="G4" sqref="G4"/>
    </sheetView>
  </sheetViews>
  <sheetFormatPr defaultColWidth="9.1796875" defaultRowHeight="15" customHeight="1"/>
  <cols>
    <col min="1" max="1" width="10" style="74" bestFit="1" customWidth="1"/>
    <col min="2" max="2" width="5" style="74" bestFit="1" customWidth="1"/>
    <col min="3" max="3" width="23.453125" style="74" customWidth="1"/>
    <col min="4" max="29" width="3.81640625" style="85" customWidth="1"/>
    <col min="30" max="30" width="77.453125" style="74" customWidth="1"/>
  </cols>
  <sheetData>
    <row r="1" spans="1:30" s="52" customFormat="1" ht="14.5">
      <c r="A1" s="107" t="s">
        <v>2971</v>
      </c>
      <c r="B1" s="107" t="s">
        <v>2972</v>
      </c>
      <c r="C1" s="107" t="s">
        <v>2973</v>
      </c>
      <c r="D1" s="108">
        <v>36</v>
      </c>
      <c r="E1" s="108">
        <v>53</v>
      </c>
      <c r="F1" s="108">
        <v>64</v>
      </c>
      <c r="G1" s="108">
        <v>74</v>
      </c>
      <c r="H1" s="108">
        <v>93</v>
      </c>
      <c r="I1" s="108">
        <v>112</v>
      </c>
      <c r="J1" s="108">
        <v>130</v>
      </c>
      <c r="K1" s="108">
        <v>140</v>
      </c>
      <c r="L1" s="108">
        <v>145</v>
      </c>
      <c r="M1" s="108">
        <v>158</v>
      </c>
      <c r="N1" s="108">
        <v>181</v>
      </c>
      <c r="O1" s="108">
        <v>213</v>
      </c>
      <c r="P1" s="108">
        <v>258</v>
      </c>
      <c r="Q1" s="108">
        <v>262</v>
      </c>
      <c r="R1" s="108">
        <v>274</v>
      </c>
      <c r="S1" s="108">
        <v>277</v>
      </c>
      <c r="T1" s="108">
        <v>297</v>
      </c>
      <c r="U1" s="108">
        <v>299</v>
      </c>
      <c r="V1" s="108">
        <v>302</v>
      </c>
      <c r="W1" s="108">
        <v>304</v>
      </c>
      <c r="X1" s="108">
        <v>307</v>
      </c>
      <c r="Y1" s="108">
        <v>325</v>
      </c>
      <c r="Z1" s="108">
        <v>326</v>
      </c>
      <c r="AA1" s="108">
        <v>336</v>
      </c>
      <c r="AB1" s="108">
        <v>356</v>
      </c>
      <c r="AC1" s="108">
        <v>357</v>
      </c>
      <c r="AD1" s="107" t="s">
        <v>2974</v>
      </c>
    </row>
    <row r="2" spans="1:30" ht="14.5">
      <c r="C2" s="74" t="s">
        <v>2975</v>
      </c>
    </row>
    <row r="3" spans="1:30" ht="14.5">
      <c r="C3" s="74" t="s">
        <v>2976</v>
      </c>
    </row>
    <row r="4" spans="1:30" ht="14.5">
      <c r="A4" s="74" t="s">
        <v>2977</v>
      </c>
      <c r="B4" s="74" t="s">
        <v>2978</v>
      </c>
      <c r="C4" s="74" t="s">
        <v>2979</v>
      </c>
      <c r="G4" s="85" t="s">
        <v>2842</v>
      </c>
    </row>
    <row r="5" spans="1:30" ht="14.5">
      <c r="A5" s="74" t="s">
        <v>2977</v>
      </c>
      <c r="B5" s="74" t="s">
        <v>2978</v>
      </c>
      <c r="C5" s="74" t="s">
        <v>2981</v>
      </c>
      <c r="G5" s="85" t="s">
        <v>2842</v>
      </c>
    </row>
    <row r="6" spans="1:30" ht="14.5">
      <c r="A6" s="74" t="s">
        <v>2977</v>
      </c>
      <c r="B6" s="74" t="s">
        <v>2978</v>
      </c>
      <c r="C6" s="74" t="s">
        <v>2982</v>
      </c>
      <c r="L6" s="85" t="s">
        <v>2984</v>
      </c>
      <c r="Q6" s="85" t="s">
        <v>2768</v>
      </c>
      <c r="R6" s="85" t="s">
        <v>2768</v>
      </c>
      <c r="Z6" s="85" t="s">
        <v>2983</v>
      </c>
      <c r="AD6" s="74" t="s">
        <v>2985</v>
      </c>
    </row>
    <row r="7" spans="1:30" ht="14.5">
      <c r="A7" s="74" t="s">
        <v>2977</v>
      </c>
      <c r="B7" s="74" t="s">
        <v>2978</v>
      </c>
      <c r="C7" s="74" t="s">
        <v>2986</v>
      </c>
      <c r="L7" s="85" t="s">
        <v>2984</v>
      </c>
      <c r="M7" s="85" t="s">
        <v>2983</v>
      </c>
      <c r="Z7" s="85" t="s">
        <v>2983</v>
      </c>
      <c r="AD7" s="74" t="s">
        <v>2987</v>
      </c>
    </row>
    <row r="8" spans="1:30" ht="14.5">
      <c r="A8" s="74" t="s">
        <v>2977</v>
      </c>
      <c r="B8" s="74" t="s">
        <v>2978</v>
      </c>
      <c r="C8" s="74" t="s">
        <v>2988</v>
      </c>
      <c r="L8" s="85" t="s">
        <v>2984</v>
      </c>
    </row>
    <row r="9" spans="1:30" ht="43.5">
      <c r="A9" s="74" t="s">
        <v>2977</v>
      </c>
      <c r="B9" s="74" t="s">
        <v>2978</v>
      </c>
      <c r="C9" s="74" t="s">
        <v>2989</v>
      </c>
      <c r="L9" s="85" t="s">
        <v>2984</v>
      </c>
      <c r="AD9" s="109" t="s">
        <v>2990</v>
      </c>
    </row>
    <row r="10" spans="1:30" ht="14.5">
      <c r="A10" s="74" t="s">
        <v>2977</v>
      </c>
      <c r="B10" s="74" t="s">
        <v>2978</v>
      </c>
      <c r="C10" s="74" t="s">
        <v>2991</v>
      </c>
      <c r="L10" s="85" t="s">
        <v>2984</v>
      </c>
      <c r="S10" s="85" t="s">
        <v>2992</v>
      </c>
      <c r="U10" s="85" t="s">
        <v>2992</v>
      </c>
      <c r="V10" s="85" t="s">
        <v>2992</v>
      </c>
      <c r="AD10" s="74" t="s">
        <v>2993</v>
      </c>
    </row>
    <row r="11" spans="1:30" ht="14.5">
      <c r="A11" s="74" t="s">
        <v>2977</v>
      </c>
      <c r="B11" s="74" t="s">
        <v>2978</v>
      </c>
      <c r="C11" s="74" t="s">
        <v>2994</v>
      </c>
      <c r="L11" s="85" t="s">
        <v>2984</v>
      </c>
    </row>
    <row r="12" spans="1:30" ht="14.5">
      <c r="A12" s="74" t="s">
        <v>2977</v>
      </c>
      <c r="B12" s="74" t="s">
        <v>2978</v>
      </c>
      <c r="C12" s="74" t="s">
        <v>2995</v>
      </c>
      <c r="Z12" s="85" t="s">
        <v>2983</v>
      </c>
      <c r="AD12" s="75" t="s">
        <v>2996</v>
      </c>
    </row>
    <row r="13" spans="1:30" ht="14.5">
      <c r="A13" s="74" t="s">
        <v>2977</v>
      </c>
      <c r="B13" s="74" t="s">
        <v>2978</v>
      </c>
      <c r="C13" s="74" t="s">
        <v>2997</v>
      </c>
      <c r="Z13" s="85" t="s">
        <v>2983</v>
      </c>
      <c r="AD13" s="75" t="s">
        <v>2998</v>
      </c>
    </row>
    <row r="14" spans="1:30" ht="101.5">
      <c r="A14" s="74" t="s">
        <v>2977</v>
      </c>
      <c r="B14" s="74" t="s">
        <v>2978</v>
      </c>
      <c r="C14" s="74" t="s">
        <v>2999</v>
      </c>
      <c r="E14" s="85" t="s">
        <v>2842</v>
      </c>
      <c r="F14" s="85" t="s">
        <v>2842</v>
      </c>
      <c r="G14" s="85" t="s">
        <v>2842</v>
      </c>
      <c r="L14" s="85" t="s">
        <v>2984</v>
      </c>
      <c r="M14" s="85" t="s">
        <v>2983</v>
      </c>
      <c r="N14" s="85" t="s">
        <v>2842</v>
      </c>
      <c r="O14" s="85" t="s">
        <v>3000</v>
      </c>
      <c r="Q14" s="85" t="s">
        <v>2768</v>
      </c>
      <c r="R14" s="85" t="s">
        <v>2768</v>
      </c>
      <c r="Z14" s="85" t="s">
        <v>2983</v>
      </c>
      <c r="AD14" s="109" t="s">
        <v>3001</v>
      </c>
    </row>
    <row r="15" spans="1:30" ht="14.5">
      <c r="A15" s="74" t="s">
        <v>2977</v>
      </c>
      <c r="B15" s="74" t="s">
        <v>2978</v>
      </c>
      <c r="C15" s="74" t="s">
        <v>3002</v>
      </c>
      <c r="F15" s="85" t="s">
        <v>2842</v>
      </c>
    </row>
    <row r="16" spans="1:30" ht="72.5">
      <c r="A16" s="74" t="s">
        <v>2977</v>
      </c>
      <c r="B16" s="74" t="s">
        <v>2978</v>
      </c>
      <c r="C16" s="74" t="s">
        <v>3003</v>
      </c>
      <c r="L16" s="85" t="s">
        <v>2984</v>
      </c>
      <c r="M16" s="85" t="s">
        <v>2983</v>
      </c>
      <c r="AB16" s="85" t="s">
        <v>2842</v>
      </c>
      <c r="AD16" s="110" t="s">
        <v>3004</v>
      </c>
    </row>
    <row r="17" spans="1:30" ht="14.5">
      <c r="A17" s="74" t="s">
        <v>2977</v>
      </c>
      <c r="B17" s="74" t="s">
        <v>2978</v>
      </c>
      <c r="C17" s="74" t="s">
        <v>3005</v>
      </c>
      <c r="L17" s="85" t="s">
        <v>2984</v>
      </c>
    </row>
    <row r="18" spans="1:30" ht="14.5">
      <c r="A18" s="74" t="s">
        <v>2977</v>
      </c>
      <c r="B18" s="74" t="s">
        <v>2978</v>
      </c>
      <c r="C18" s="74" t="s">
        <v>3006</v>
      </c>
      <c r="L18" s="85" t="s">
        <v>2984</v>
      </c>
      <c r="M18" s="85" t="s">
        <v>2983</v>
      </c>
      <c r="R18" s="85" t="s">
        <v>2768</v>
      </c>
      <c r="Z18" s="85" t="s">
        <v>2983</v>
      </c>
      <c r="AD18" s="74" t="s">
        <v>3007</v>
      </c>
    </row>
    <row r="19" spans="1:30" ht="14.5">
      <c r="A19" s="74" t="s">
        <v>2977</v>
      </c>
      <c r="B19" s="74" t="s">
        <v>2978</v>
      </c>
      <c r="C19" s="74" t="s">
        <v>3008</v>
      </c>
      <c r="L19" s="85" t="s">
        <v>2984</v>
      </c>
    </row>
    <row r="20" spans="1:30" ht="29">
      <c r="A20" s="74" t="s">
        <v>3009</v>
      </c>
      <c r="B20" s="74" t="s">
        <v>2978</v>
      </c>
      <c r="C20" s="74" t="s">
        <v>3010</v>
      </c>
      <c r="L20" s="85" t="s">
        <v>2984</v>
      </c>
      <c r="AD20" s="109" t="s">
        <v>3011</v>
      </c>
    </row>
    <row r="21" spans="1:30" ht="116">
      <c r="A21" s="74" t="s">
        <v>3009</v>
      </c>
      <c r="B21" s="74" t="s">
        <v>2978</v>
      </c>
      <c r="C21" s="74" t="s">
        <v>3012</v>
      </c>
      <c r="L21" s="85" t="s">
        <v>2984</v>
      </c>
      <c r="AD21" s="109" t="s">
        <v>3013</v>
      </c>
    </row>
    <row r="22" spans="1:30" ht="43.5">
      <c r="A22" s="74" t="s">
        <v>3009</v>
      </c>
      <c r="B22" s="74" t="s">
        <v>2978</v>
      </c>
      <c r="C22" s="74" t="s">
        <v>3014</v>
      </c>
      <c r="L22" s="85" t="s">
        <v>2984</v>
      </c>
      <c r="AD22" s="109" t="s">
        <v>3015</v>
      </c>
    </row>
    <row r="23" spans="1:30" ht="43.5">
      <c r="A23" s="74" t="s">
        <v>3009</v>
      </c>
      <c r="B23" s="74" t="s">
        <v>2978</v>
      </c>
      <c r="C23" s="74" t="s">
        <v>3016</v>
      </c>
      <c r="L23" s="85" t="s">
        <v>2984</v>
      </c>
      <c r="AD23" s="109" t="s">
        <v>3017</v>
      </c>
    </row>
    <row r="24" spans="1:30" ht="14.5">
      <c r="A24" s="74" t="s">
        <v>3009</v>
      </c>
      <c r="B24" s="74" t="s">
        <v>2978</v>
      </c>
      <c r="C24" s="74" t="s">
        <v>3018</v>
      </c>
      <c r="L24" s="85" t="s">
        <v>2984</v>
      </c>
    </row>
    <row r="25" spans="1:30" ht="14.5">
      <c r="A25" s="74" t="s">
        <v>3009</v>
      </c>
      <c r="B25" s="74" t="s">
        <v>2978</v>
      </c>
      <c r="C25" s="74" t="s">
        <v>3019</v>
      </c>
      <c r="L25" s="85" t="s">
        <v>2984</v>
      </c>
    </row>
    <row r="26" spans="1:30" ht="14.5">
      <c r="A26" s="74" t="s">
        <v>3009</v>
      </c>
      <c r="B26" s="74" t="s">
        <v>2978</v>
      </c>
      <c r="C26" s="74" t="s">
        <v>3020</v>
      </c>
      <c r="L26" s="85" t="s">
        <v>2984</v>
      </c>
    </row>
    <row r="27" spans="1:30" ht="14.5">
      <c r="A27" s="74" t="s">
        <v>3009</v>
      </c>
      <c r="B27" s="74" t="s">
        <v>2978</v>
      </c>
      <c r="C27" s="74" t="s">
        <v>3021</v>
      </c>
      <c r="L27" s="85" t="s">
        <v>2984</v>
      </c>
      <c r="AD27" s="74" t="s">
        <v>3022</v>
      </c>
    </row>
    <row r="28" spans="1:30" ht="14.5">
      <c r="A28" s="74" t="s">
        <v>3009</v>
      </c>
      <c r="B28" s="74" t="s">
        <v>2978</v>
      </c>
      <c r="C28" s="74" t="s">
        <v>3023</v>
      </c>
      <c r="L28" s="85" t="s">
        <v>2984</v>
      </c>
      <c r="AD28" s="74" t="s">
        <v>3024</v>
      </c>
    </row>
    <row r="29" spans="1:30" ht="14.5">
      <c r="A29" s="74" t="s">
        <v>3009</v>
      </c>
      <c r="B29" s="74" t="s">
        <v>2978</v>
      </c>
      <c r="C29" s="74" t="s">
        <v>3025</v>
      </c>
      <c r="L29" s="85" t="s">
        <v>2984</v>
      </c>
    </row>
    <row r="30" spans="1:30" ht="29">
      <c r="A30" s="74" t="s">
        <v>3009</v>
      </c>
      <c r="B30" s="74" t="s">
        <v>2978</v>
      </c>
      <c r="C30" s="74" t="s">
        <v>3026</v>
      </c>
      <c r="L30" s="85" t="s">
        <v>2984</v>
      </c>
      <c r="AD30" s="109" t="s">
        <v>3027</v>
      </c>
    </row>
    <row r="31" spans="1:30" ht="14.5">
      <c r="A31" s="74" t="s">
        <v>2977</v>
      </c>
      <c r="B31" s="74" t="s">
        <v>3028</v>
      </c>
      <c r="C31" s="74" t="s">
        <v>3029</v>
      </c>
      <c r="M31" s="85" t="s">
        <v>2983</v>
      </c>
      <c r="P31" s="85" t="s">
        <v>2768</v>
      </c>
      <c r="AD31" s="74" t="s">
        <v>3030</v>
      </c>
    </row>
    <row r="32" spans="1:30" ht="14.5">
      <c r="A32" s="74" t="s">
        <v>2977</v>
      </c>
      <c r="B32" s="74" t="s">
        <v>3028</v>
      </c>
      <c r="C32" s="74" t="s">
        <v>3031</v>
      </c>
      <c r="M32" s="85" t="s">
        <v>2983</v>
      </c>
      <c r="P32" s="85" t="s">
        <v>2768</v>
      </c>
    </row>
    <row r="33" spans="1:30" ht="14.5">
      <c r="A33" s="74" t="s">
        <v>2977</v>
      </c>
      <c r="B33" s="74" t="s">
        <v>3028</v>
      </c>
      <c r="C33" s="74" t="s">
        <v>3032</v>
      </c>
      <c r="F33" s="85" t="s">
        <v>2842</v>
      </c>
      <c r="M33" s="85" t="s">
        <v>2983</v>
      </c>
    </row>
    <row r="34" spans="1:30" ht="14.5">
      <c r="A34" s="74" t="s">
        <v>2977</v>
      </c>
      <c r="B34" s="74" t="s">
        <v>3028</v>
      </c>
      <c r="C34" s="74" t="s">
        <v>3033</v>
      </c>
      <c r="M34" s="85" t="s">
        <v>2983</v>
      </c>
    </row>
    <row r="35" spans="1:30" ht="14.5">
      <c r="A35" s="74" t="s">
        <v>2977</v>
      </c>
      <c r="B35" s="74" t="s">
        <v>194</v>
      </c>
      <c r="C35" s="74" t="s">
        <v>3034</v>
      </c>
      <c r="F35" s="85" t="s">
        <v>3035</v>
      </c>
      <c r="H35" s="85" t="s">
        <v>2842</v>
      </c>
      <c r="I35" s="85" t="s">
        <v>2842</v>
      </c>
    </row>
    <row r="36" spans="1:30" ht="14.5">
      <c r="A36" s="74" t="s">
        <v>2977</v>
      </c>
      <c r="B36" s="74" t="s">
        <v>2978</v>
      </c>
      <c r="C36" s="74" t="s">
        <v>3036</v>
      </c>
      <c r="O36" s="85" t="s">
        <v>3000</v>
      </c>
      <c r="AD36" s="74" t="s">
        <v>3037</v>
      </c>
    </row>
    <row r="37" spans="1:30" ht="14.5">
      <c r="A37" s="74" t="s">
        <v>2977</v>
      </c>
      <c r="B37" s="74" t="s">
        <v>2978</v>
      </c>
      <c r="C37" s="74" t="s">
        <v>3038</v>
      </c>
      <c r="O37" s="85" t="s">
        <v>3000</v>
      </c>
      <c r="AD37" s="74" t="s">
        <v>3039</v>
      </c>
    </row>
    <row r="38" spans="1:30" ht="14.5">
      <c r="A38" s="74" t="s">
        <v>2977</v>
      </c>
      <c r="B38" s="74" t="s">
        <v>2978</v>
      </c>
      <c r="C38" s="74" t="s">
        <v>3040</v>
      </c>
      <c r="O38" s="85" t="s">
        <v>3000</v>
      </c>
      <c r="AD38" s="74" t="s">
        <v>3041</v>
      </c>
    </row>
    <row r="39" spans="1:30" ht="14.5">
      <c r="A39" s="74" t="s">
        <v>2977</v>
      </c>
      <c r="B39" s="74" t="s">
        <v>2978</v>
      </c>
      <c r="C39" s="74" t="s">
        <v>3042</v>
      </c>
      <c r="O39" s="85" t="s">
        <v>3000</v>
      </c>
      <c r="AD39" s="74" t="s">
        <v>3043</v>
      </c>
    </row>
    <row r="40" spans="1:30" ht="14.5">
      <c r="A40" s="74" t="s">
        <v>2977</v>
      </c>
      <c r="B40" s="74" t="s">
        <v>2978</v>
      </c>
      <c r="C40" s="74" t="s">
        <v>3044</v>
      </c>
      <c r="O40" s="85" t="s">
        <v>3000</v>
      </c>
      <c r="AD40" s="74" t="s">
        <v>3045</v>
      </c>
    </row>
    <row r="41" spans="1:30" ht="14.5">
      <c r="A41" s="74" t="s">
        <v>2977</v>
      </c>
      <c r="B41" s="74" t="s">
        <v>2978</v>
      </c>
      <c r="C41" s="74" t="s">
        <v>3046</v>
      </c>
      <c r="O41" s="85" t="s">
        <v>3000</v>
      </c>
      <c r="S41" s="85" t="s">
        <v>2992</v>
      </c>
      <c r="U41" s="85" t="s">
        <v>2992</v>
      </c>
      <c r="V41" s="85" t="s">
        <v>2992</v>
      </c>
      <c r="AD41" s="74" t="s">
        <v>3047</v>
      </c>
    </row>
    <row r="42" spans="1:30" ht="14.5">
      <c r="A42" s="74" t="s">
        <v>2977</v>
      </c>
      <c r="B42" s="74" t="s">
        <v>2978</v>
      </c>
      <c r="C42" s="74" t="s">
        <v>3048</v>
      </c>
      <c r="S42" s="85" t="s">
        <v>2992</v>
      </c>
      <c r="U42" s="85" t="s">
        <v>2992</v>
      </c>
      <c r="V42" s="85" t="s">
        <v>2992</v>
      </c>
      <c r="AD42" s="111" t="s">
        <v>3049</v>
      </c>
    </row>
    <row r="43" spans="1:30" ht="14.5">
      <c r="A43" s="74" t="s">
        <v>2977</v>
      </c>
      <c r="B43" s="74" t="s">
        <v>2978</v>
      </c>
      <c r="C43" s="74" t="s">
        <v>3050</v>
      </c>
      <c r="S43" s="85" t="s">
        <v>2992</v>
      </c>
      <c r="U43" s="85" t="s">
        <v>2992</v>
      </c>
      <c r="V43" s="85" t="s">
        <v>2992</v>
      </c>
      <c r="AD43" s="74" t="s">
        <v>3051</v>
      </c>
    </row>
    <row r="44" spans="1:30" ht="14.5">
      <c r="A44" s="74" t="s">
        <v>2977</v>
      </c>
      <c r="B44" s="74" t="s">
        <v>2978</v>
      </c>
      <c r="C44" s="74" t="s">
        <v>3052</v>
      </c>
      <c r="S44" s="85" t="s">
        <v>2992</v>
      </c>
      <c r="U44" s="85" t="s">
        <v>2992</v>
      </c>
      <c r="V44" s="85" t="s">
        <v>2992</v>
      </c>
      <c r="AD44" s="74" t="s">
        <v>3053</v>
      </c>
    </row>
    <row r="45" spans="1:30" ht="14.5">
      <c r="A45" s="74" t="s">
        <v>3054</v>
      </c>
      <c r="B45" s="74" t="s">
        <v>2978</v>
      </c>
      <c r="C45" s="74" t="s">
        <v>3055</v>
      </c>
      <c r="D45" s="85" t="s">
        <v>2842</v>
      </c>
    </row>
    <row r="46" spans="1:30" ht="14.5">
      <c r="A46" s="74" t="s">
        <v>3054</v>
      </c>
      <c r="B46" s="74" t="s">
        <v>2978</v>
      </c>
      <c r="C46" s="74" t="s">
        <v>3056</v>
      </c>
      <c r="D46" s="85" t="s">
        <v>2842</v>
      </c>
    </row>
    <row r="47" spans="1:30" ht="14.5">
      <c r="A47" s="74" t="s">
        <v>3054</v>
      </c>
      <c r="B47" s="74" t="s">
        <v>2978</v>
      </c>
      <c r="C47" s="74" t="s">
        <v>3057</v>
      </c>
      <c r="D47" s="85" t="s">
        <v>2842</v>
      </c>
    </row>
    <row r="48" spans="1:30" ht="14.5">
      <c r="A48" s="74" t="s">
        <v>3054</v>
      </c>
      <c r="B48" s="74" t="s">
        <v>2978</v>
      </c>
      <c r="C48" s="74" t="s">
        <v>3058</v>
      </c>
      <c r="D48" s="85" t="s">
        <v>2842</v>
      </c>
    </row>
    <row r="49" spans="1:29" ht="14.5">
      <c r="A49" s="74" t="s">
        <v>3054</v>
      </c>
      <c r="B49" s="74" t="s">
        <v>2978</v>
      </c>
      <c r="C49" s="74" t="s">
        <v>3059</v>
      </c>
      <c r="D49" s="85" t="s">
        <v>2842</v>
      </c>
    </row>
    <row r="50" spans="1:29" ht="14.5">
      <c r="A50" s="74" t="s">
        <v>3054</v>
      </c>
      <c r="B50" s="74" t="s">
        <v>2978</v>
      </c>
      <c r="C50" s="74" t="s">
        <v>3060</v>
      </c>
      <c r="D50" s="85" t="s">
        <v>2842</v>
      </c>
    </row>
    <row r="51" spans="1:29" ht="14.5">
      <c r="A51" s="74" t="s">
        <v>3054</v>
      </c>
      <c r="B51" s="74" t="s">
        <v>2978</v>
      </c>
      <c r="C51" s="74" t="s">
        <v>3061</v>
      </c>
      <c r="D51" s="85" t="s">
        <v>2842</v>
      </c>
    </row>
    <row r="52" spans="1:29" ht="14.5">
      <c r="A52" s="74" t="s">
        <v>3062</v>
      </c>
      <c r="B52" s="74" t="s">
        <v>2978</v>
      </c>
      <c r="C52" s="74" t="s">
        <v>3063</v>
      </c>
      <c r="D52" s="85" t="s">
        <v>2842</v>
      </c>
    </row>
    <row r="53" spans="1:29" ht="14.5">
      <c r="A53" s="74" t="s">
        <v>3062</v>
      </c>
      <c r="B53" s="74" t="s">
        <v>2978</v>
      </c>
      <c r="C53" s="74" t="s">
        <v>3064</v>
      </c>
      <c r="D53" s="85" t="s">
        <v>2842</v>
      </c>
    </row>
    <row r="54" spans="1:29" ht="14.5">
      <c r="A54" s="74" t="s">
        <v>3062</v>
      </c>
      <c r="B54" s="74" t="s">
        <v>2978</v>
      </c>
      <c r="C54" s="74" t="s">
        <v>3065</v>
      </c>
      <c r="D54" s="85" t="s">
        <v>2842</v>
      </c>
    </row>
    <row r="55" spans="1:29" ht="14.5">
      <c r="A55" s="74" t="s">
        <v>3062</v>
      </c>
      <c r="B55" s="74" t="s">
        <v>2978</v>
      </c>
      <c r="C55" s="74" t="s">
        <v>3066</v>
      </c>
      <c r="D55" s="85" t="s">
        <v>2842</v>
      </c>
    </row>
    <row r="56" spans="1:29" ht="14.5">
      <c r="A56" s="74" t="s">
        <v>3062</v>
      </c>
      <c r="B56" s="74" t="s">
        <v>2978</v>
      </c>
      <c r="C56" s="74" t="s">
        <v>3067</v>
      </c>
      <c r="D56" s="85" t="s">
        <v>2842</v>
      </c>
    </row>
    <row r="57" spans="1:29" ht="14.5">
      <c r="A57" s="74" t="s">
        <v>3068</v>
      </c>
      <c r="B57" s="74" t="s">
        <v>2978</v>
      </c>
      <c r="C57" s="74" t="s">
        <v>3069</v>
      </c>
      <c r="D57" s="85" t="s">
        <v>2842</v>
      </c>
    </row>
    <row r="58" spans="1:29" ht="14.5">
      <c r="A58" s="74" t="s">
        <v>3068</v>
      </c>
      <c r="B58" s="74" t="s">
        <v>2978</v>
      </c>
      <c r="C58" s="74" t="s">
        <v>3070</v>
      </c>
      <c r="D58" s="85" t="s">
        <v>2842</v>
      </c>
    </row>
    <row r="59" spans="1:29" ht="14.5">
      <c r="A59" s="74" t="s">
        <v>3068</v>
      </c>
      <c r="B59" s="74" t="s">
        <v>2978</v>
      </c>
      <c r="C59" s="74" t="s">
        <v>3071</v>
      </c>
      <c r="D59" s="85" t="s">
        <v>2842</v>
      </c>
    </row>
    <row r="60" spans="1:29" ht="14.5">
      <c r="A60" s="74" t="s">
        <v>3008</v>
      </c>
      <c r="B60" s="74" t="s">
        <v>2978</v>
      </c>
      <c r="C60" s="74" t="s">
        <v>3072</v>
      </c>
      <c r="D60" s="85" t="s">
        <v>2842</v>
      </c>
    </row>
    <row r="61" spans="1:29" ht="14.5">
      <c r="A61" s="74" t="s">
        <v>3008</v>
      </c>
      <c r="B61" s="74" t="s">
        <v>2978</v>
      </c>
      <c r="C61" s="74" t="s">
        <v>3073</v>
      </c>
      <c r="D61" s="85" t="s">
        <v>2842</v>
      </c>
    </row>
    <row r="62" spans="1:29" ht="14.5">
      <c r="C62" s="74" t="s">
        <v>3074</v>
      </c>
      <c r="J62" s="85" t="s">
        <v>2842</v>
      </c>
      <c r="AC62" s="85" t="s">
        <v>3075</v>
      </c>
    </row>
    <row r="63" spans="1:29" ht="14.5">
      <c r="C63" s="74" t="s">
        <v>3076</v>
      </c>
      <c r="J63" s="85" t="s">
        <v>2842</v>
      </c>
      <c r="AC63" s="85" t="s">
        <v>3075</v>
      </c>
    </row>
    <row r="64" spans="1:29" ht="14.5">
      <c r="C64" s="74" t="s">
        <v>3077</v>
      </c>
      <c r="J64" s="85" t="s">
        <v>2842</v>
      </c>
      <c r="AC64" s="85" t="s">
        <v>3075</v>
      </c>
    </row>
    <row r="65" spans="2:30" ht="14.5">
      <c r="C65" s="74" t="s">
        <v>3078</v>
      </c>
      <c r="J65" s="85" t="s">
        <v>2842</v>
      </c>
      <c r="AC65" s="85" t="s">
        <v>3075</v>
      </c>
    </row>
    <row r="66" spans="2:30" ht="14.5">
      <c r="C66" s="74" t="s">
        <v>3079</v>
      </c>
      <c r="J66" s="85" t="s">
        <v>2842</v>
      </c>
      <c r="AC66" s="85" t="s">
        <v>3075</v>
      </c>
    </row>
    <row r="67" spans="2:30" ht="14.5">
      <c r="C67" s="74" t="s">
        <v>3080</v>
      </c>
      <c r="K67" s="85" t="s">
        <v>3081</v>
      </c>
      <c r="Y67" s="85" t="s">
        <v>2842</v>
      </c>
      <c r="AD67" s="75" t="s">
        <v>3082</v>
      </c>
    </row>
    <row r="68" spans="2:30" ht="15" customHeight="1">
      <c r="B68" s="74" t="s">
        <v>2978</v>
      </c>
      <c r="C68" s="74" t="s">
        <v>3083</v>
      </c>
      <c r="S68" s="85" t="s">
        <v>2992</v>
      </c>
      <c r="U68" s="85" t="s">
        <v>2992</v>
      </c>
      <c r="V68" s="85" t="s">
        <v>2992</v>
      </c>
      <c r="AD68" s="74" t="s">
        <v>3084</v>
      </c>
    </row>
    <row r="69" spans="2:30" ht="15" customHeight="1">
      <c r="B69" s="74" t="s">
        <v>2978</v>
      </c>
      <c r="C69" s="74" t="s">
        <v>3085</v>
      </c>
      <c r="T69" s="85" t="s">
        <v>3086</v>
      </c>
      <c r="AA69" s="85" t="s">
        <v>3087</v>
      </c>
    </row>
    <row r="70" spans="2:30" ht="15" customHeight="1">
      <c r="B70" s="74" t="s">
        <v>2978</v>
      </c>
      <c r="C70" s="74" t="s">
        <v>3088</v>
      </c>
      <c r="W70" s="85" t="s">
        <v>2842</v>
      </c>
    </row>
    <row r="71" spans="2:30" ht="15" customHeight="1">
      <c r="B71" s="74" t="s">
        <v>2978</v>
      </c>
      <c r="C71" s="74" t="s">
        <v>3089</v>
      </c>
      <c r="Z71" s="85" t="s">
        <v>2983</v>
      </c>
      <c r="AD71" s="75" t="s">
        <v>3090</v>
      </c>
    </row>
    <row r="72" spans="2:30" ht="15" customHeight="1">
      <c r="B72" s="74" t="s">
        <v>2978</v>
      </c>
      <c r="C72" s="74" t="s">
        <v>3091</v>
      </c>
      <c r="Z72" s="85" t="s">
        <v>2983</v>
      </c>
      <c r="AD72" s="75" t="s">
        <v>3092</v>
      </c>
    </row>
    <row r="73" spans="2:30" ht="15" customHeight="1">
      <c r="B73" s="74" t="s">
        <v>2978</v>
      </c>
      <c r="C73" s="74" t="s">
        <v>3093</v>
      </c>
      <c r="Z73" s="85" t="s">
        <v>2983</v>
      </c>
      <c r="AD73" s="75" t="s">
        <v>3094</v>
      </c>
    </row>
    <row r="74" spans="2:30" ht="15" customHeight="1">
      <c r="B74" s="74" t="s">
        <v>2978</v>
      </c>
      <c r="C74" s="74" t="s">
        <v>3095</v>
      </c>
      <c r="AA74" s="85" t="s">
        <v>3087</v>
      </c>
    </row>
    <row r="75" spans="2:30" ht="15" customHeight="1">
      <c r="B75" s="74" t="s">
        <v>2978</v>
      </c>
      <c r="C75" s="74" t="s">
        <v>3096</v>
      </c>
      <c r="AA75" s="85" t="s">
        <v>3087</v>
      </c>
    </row>
    <row r="76" spans="2:30" ht="15" customHeight="1">
      <c r="B76" s="74" t="s">
        <v>2978</v>
      </c>
      <c r="C76" s="74" t="s">
        <v>3097</v>
      </c>
      <c r="AB76" s="85" t="s">
        <v>2842</v>
      </c>
      <c r="AD76" s="110" t="s">
        <v>3098</v>
      </c>
    </row>
    <row r="77" spans="2:30" ht="15" customHeight="1">
      <c r="B77" s="74" t="s">
        <v>2978</v>
      </c>
      <c r="C77" s="74" t="s">
        <v>3099</v>
      </c>
      <c r="AB77" s="85" t="s">
        <v>2842</v>
      </c>
      <c r="AD77" s="110" t="s">
        <v>3100</v>
      </c>
    </row>
    <row r="78" spans="2:30" ht="15" customHeight="1">
      <c r="B78" s="74" t="s">
        <v>2978</v>
      </c>
      <c r="C78" s="74" t="s">
        <v>3101</v>
      </c>
      <c r="AB78" s="85" t="s">
        <v>2842</v>
      </c>
      <c r="AD78" s="110" t="s">
        <v>3102</v>
      </c>
    </row>
    <row r="79" spans="2:30" ht="15" customHeight="1">
      <c r="B79" s="74" t="s">
        <v>2978</v>
      </c>
      <c r="C79" s="74" t="s">
        <v>3103</v>
      </c>
      <c r="AC79" s="85" t="s">
        <v>2842</v>
      </c>
    </row>
    <row r="80" spans="2:30" ht="15" customHeight="1">
      <c r="B80" s="74" t="s">
        <v>2978</v>
      </c>
      <c r="C80" s="74" t="s">
        <v>3104</v>
      </c>
      <c r="AC80" s="85" t="s">
        <v>2842</v>
      </c>
    </row>
    <row r="81" spans="2:29" ht="15" customHeight="1">
      <c r="B81" s="74" t="s">
        <v>2978</v>
      </c>
      <c r="C81" s="74" t="s">
        <v>3105</v>
      </c>
      <c r="AC81" s="85" t="s">
        <v>2842</v>
      </c>
    </row>
    <row r="82" spans="2:29" ht="15" customHeight="1">
      <c r="B82" s="74" t="s">
        <v>2978</v>
      </c>
      <c r="C82" s="74" t="s">
        <v>3106</v>
      </c>
      <c r="AC82" s="85" t="s">
        <v>2842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CCFDC-E6F3-EA41-80BA-ECC838ECA122}">
  <sheetPr codeName="Tabelle19">
    <tabColor theme="9" tint="0.79998168889431442"/>
  </sheetPr>
  <dimension ref="A1:H20"/>
  <sheetViews>
    <sheetView zoomScale="111" zoomScaleNormal="111" workbookViewId="0">
      <selection activeCell="B5" sqref="B5"/>
    </sheetView>
  </sheetViews>
  <sheetFormatPr defaultColWidth="8.81640625" defaultRowHeight="14.5"/>
  <cols>
    <col min="1" max="1" width="15.6328125" bestFit="1" customWidth="1"/>
    <col min="2" max="2" width="73.1796875" bestFit="1" customWidth="1"/>
    <col min="3" max="3" width="10.36328125" bestFit="1" customWidth="1"/>
    <col min="4" max="4" width="43.36328125" customWidth="1"/>
    <col min="5" max="5" width="40.453125" customWidth="1"/>
    <col min="6" max="6" width="88.6328125" style="12" customWidth="1"/>
    <col min="7" max="7" width="21.81640625" customWidth="1"/>
    <col min="8" max="8" width="39.81640625" customWidth="1"/>
  </cols>
  <sheetData>
    <row r="1" spans="1:8">
      <c r="A1" s="112" t="s">
        <v>3324</v>
      </c>
      <c r="B1" s="113" t="s">
        <v>3325</v>
      </c>
      <c r="C1" s="113" t="s">
        <v>3326</v>
      </c>
      <c r="D1" s="113" t="s">
        <v>3327</v>
      </c>
      <c r="E1" s="113" t="s">
        <v>3328</v>
      </c>
      <c r="F1" s="114" t="s">
        <v>3404</v>
      </c>
      <c r="G1" s="113" t="s">
        <v>3126</v>
      </c>
      <c r="H1" s="115" t="s">
        <v>3329</v>
      </c>
    </row>
    <row r="2" spans="1:8" s="12" customFormat="1" ht="159.5">
      <c r="A2" s="116" t="s">
        <v>3085</v>
      </c>
      <c r="B2" s="117" t="s">
        <v>3330</v>
      </c>
      <c r="C2" s="117">
        <v>19</v>
      </c>
      <c r="D2" s="117" t="s">
        <v>3470</v>
      </c>
      <c r="E2" s="117" t="s">
        <v>3459</v>
      </c>
      <c r="F2" s="117" t="s">
        <v>3443</v>
      </c>
      <c r="G2" s="117" t="s">
        <v>3331</v>
      </c>
      <c r="H2" s="118" t="s">
        <v>3395</v>
      </c>
    </row>
    <row r="3" spans="1:8" s="12" customFormat="1" ht="58">
      <c r="A3" s="116" t="s">
        <v>3351</v>
      </c>
      <c r="B3" s="117" t="s">
        <v>3352</v>
      </c>
      <c r="C3" s="117">
        <v>14</v>
      </c>
      <c r="D3" s="117" t="s">
        <v>3471</v>
      </c>
      <c r="E3" s="117" t="s">
        <v>3452</v>
      </c>
      <c r="F3" s="117" t="s">
        <v>3453</v>
      </c>
      <c r="G3" s="117" t="s">
        <v>3353</v>
      </c>
      <c r="H3" s="118" t="s">
        <v>3354</v>
      </c>
    </row>
    <row r="4" spans="1:8" s="12" customFormat="1" ht="43.5">
      <c r="A4" s="116" t="s">
        <v>3334</v>
      </c>
      <c r="B4" s="117" t="s">
        <v>3335</v>
      </c>
      <c r="C4" s="117">
        <v>14</v>
      </c>
      <c r="D4" s="117" t="s">
        <v>3467</v>
      </c>
      <c r="E4" s="117" t="s">
        <v>3468</v>
      </c>
      <c r="F4" s="117" t="s">
        <v>3472</v>
      </c>
      <c r="G4" s="117" t="s">
        <v>3390</v>
      </c>
      <c r="H4" s="118" t="s">
        <v>3396</v>
      </c>
    </row>
    <row r="5" spans="1:8" s="12" customFormat="1" ht="87">
      <c r="A5" s="116" t="s">
        <v>3032</v>
      </c>
      <c r="B5" s="117" t="s">
        <v>3402</v>
      </c>
      <c r="C5" s="117">
        <v>9</v>
      </c>
      <c r="D5" s="117" t="s">
        <v>3462</v>
      </c>
      <c r="E5" s="117" t="s">
        <v>3454</v>
      </c>
      <c r="F5" s="117" t="s">
        <v>3464</v>
      </c>
      <c r="G5" s="117" t="s">
        <v>3391</v>
      </c>
      <c r="H5" s="118" t="s">
        <v>3397</v>
      </c>
    </row>
    <row r="6" spans="1:8" s="12" customFormat="1" ht="43.5">
      <c r="A6" s="116" t="s">
        <v>3333</v>
      </c>
      <c r="B6" s="117" t="s">
        <v>3381</v>
      </c>
      <c r="C6" s="117">
        <v>9</v>
      </c>
      <c r="D6" s="117" t="s">
        <v>3445</v>
      </c>
      <c r="E6" s="117" t="s">
        <v>3448</v>
      </c>
      <c r="F6" s="117" t="s">
        <v>3455</v>
      </c>
      <c r="G6" s="117" t="s">
        <v>3393</v>
      </c>
      <c r="H6" s="118" t="s">
        <v>3400</v>
      </c>
    </row>
    <row r="7" spans="1:8" s="12" customFormat="1" ht="43.5">
      <c r="A7" s="116" t="s">
        <v>3033</v>
      </c>
      <c r="B7" s="117" t="s">
        <v>3382</v>
      </c>
      <c r="C7" s="117">
        <v>7</v>
      </c>
      <c r="D7" s="117" t="s">
        <v>3436</v>
      </c>
      <c r="E7" s="117" t="s">
        <v>3435</v>
      </c>
      <c r="F7" s="117" t="s">
        <v>3431</v>
      </c>
      <c r="G7" s="117" t="s">
        <v>3336</v>
      </c>
      <c r="H7" s="118" t="s">
        <v>3337</v>
      </c>
    </row>
    <row r="8" spans="1:8" s="12" customFormat="1" ht="43.5">
      <c r="A8" s="116" t="s">
        <v>3034</v>
      </c>
      <c r="B8" s="117" t="s">
        <v>3339</v>
      </c>
      <c r="C8" s="117">
        <v>7</v>
      </c>
      <c r="D8" s="117" t="s">
        <v>3463</v>
      </c>
      <c r="E8" s="117" t="s">
        <v>3340</v>
      </c>
      <c r="F8" s="117" t="s">
        <v>3465</v>
      </c>
      <c r="G8" s="117" t="s">
        <v>3341</v>
      </c>
      <c r="H8" s="118" t="s">
        <v>3342</v>
      </c>
    </row>
    <row r="9" spans="1:8" s="12" customFormat="1" ht="29">
      <c r="A9" s="116" t="s">
        <v>3002</v>
      </c>
      <c r="B9" s="117" t="s">
        <v>3362</v>
      </c>
      <c r="C9" s="117">
        <v>6</v>
      </c>
      <c r="D9" s="117" t="s">
        <v>3469</v>
      </c>
      <c r="E9" s="117"/>
      <c r="F9" s="117" t="s">
        <v>3473</v>
      </c>
      <c r="G9" s="117" t="s">
        <v>3363</v>
      </c>
      <c r="H9" s="118" t="s">
        <v>3364</v>
      </c>
    </row>
    <row r="10" spans="1:8" s="12" customFormat="1" ht="43.5">
      <c r="A10" s="116" t="s">
        <v>3358</v>
      </c>
      <c r="B10" s="117" t="s">
        <v>3386</v>
      </c>
      <c r="C10" s="117">
        <v>5</v>
      </c>
      <c r="D10" s="117" t="s">
        <v>3442</v>
      </c>
      <c r="E10" s="117" t="s">
        <v>3439</v>
      </c>
      <c r="F10" s="117" t="s">
        <v>3432</v>
      </c>
      <c r="G10" s="117" t="s">
        <v>3359</v>
      </c>
      <c r="H10" s="118" t="s">
        <v>3360</v>
      </c>
    </row>
    <row r="11" spans="1:8" s="12" customFormat="1" ht="43.5">
      <c r="A11" s="116" t="s">
        <v>3361</v>
      </c>
      <c r="B11" s="117" t="s">
        <v>3384</v>
      </c>
      <c r="C11" s="117">
        <v>5</v>
      </c>
      <c r="D11" s="117" t="s">
        <v>3437</v>
      </c>
      <c r="E11" s="117" t="s">
        <v>3440</v>
      </c>
      <c r="F11" s="117" t="s">
        <v>3433</v>
      </c>
      <c r="G11" s="117" t="s">
        <v>3356</v>
      </c>
      <c r="H11" s="118" t="s">
        <v>3399</v>
      </c>
    </row>
    <row r="12" spans="1:8" s="12" customFormat="1" ht="43.5">
      <c r="A12" s="116" t="s">
        <v>2981</v>
      </c>
      <c r="B12" s="117" t="s">
        <v>3385</v>
      </c>
      <c r="C12" s="117">
        <v>5</v>
      </c>
      <c r="D12" s="117" t="s">
        <v>3466</v>
      </c>
      <c r="E12" s="117"/>
      <c r="F12" s="117" t="s">
        <v>3432</v>
      </c>
      <c r="G12" s="117" t="s">
        <v>3368</v>
      </c>
      <c r="H12" s="118" t="s">
        <v>3401</v>
      </c>
    </row>
    <row r="13" spans="1:8" s="12" customFormat="1" ht="72.5">
      <c r="A13" s="116" t="s">
        <v>3332</v>
      </c>
      <c r="B13" s="117" t="s">
        <v>3403</v>
      </c>
      <c r="C13" s="117">
        <v>4</v>
      </c>
      <c r="D13" s="117" t="s">
        <v>3446</v>
      </c>
      <c r="E13" s="117" t="s">
        <v>3449</v>
      </c>
      <c r="F13" s="117" t="s">
        <v>3447</v>
      </c>
      <c r="G13" s="117" t="s">
        <v>3392</v>
      </c>
      <c r="H13" s="118" t="s">
        <v>3398</v>
      </c>
    </row>
    <row r="14" spans="1:8" s="12" customFormat="1" ht="29">
      <c r="A14" s="116" t="s">
        <v>3338</v>
      </c>
      <c r="B14" s="117" t="s">
        <v>3388</v>
      </c>
      <c r="C14" s="117">
        <v>4</v>
      </c>
      <c r="D14" s="117" t="s">
        <v>3456</v>
      </c>
      <c r="E14" s="117" t="s">
        <v>3450</v>
      </c>
      <c r="F14" s="117" t="s">
        <v>3460</v>
      </c>
      <c r="G14" s="117" t="s">
        <v>3389</v>
      </c>
      <c r="H14" s="118" t="s">
        <v>3376</v>
      </c>
    </row>
    <row r="15" spans="1:8" s="12" customFormat="1" ht="43.5">
      <c r="A15" s="116" t="s">
        <v>3355</v>
      </c>
      <c r="B15" s="117" t="s">
        <v>3383</v>
      </c>
      <c r="C15" s="117">
        <v>4</v>
      </c>
      <c r="D15" s="117" t="s">
        <v>3438</v>
      </c>
      <c r="E15" s="117" t="s">
        <v>3441</v>
      </c>
      <c r="F15" s="117" t="s">
        <v>3434</v>
      </c>
      <c r="G15" s="117" t="s">
        <v>3356</v>
      </c>
      <c r="H15" s="118" t="s">
        <v>3357</v>
      </c>
    </row>
    <row r="16" spans="1:8">
      <c r="A16" s="116" t="s">
        <v>3093</v>
      </c>
      <c r="B16" s="117" t="s">
        <v>3369</v>
      </c>
      <c r="C16" s="117">
        <v>3</v>
      </c>
      <c r="D16" s="117" t="s">
        <v>3457</v>
      </c>
      <c r="E16" s="117"/>
      <c r="F16" s="117" t="s">
        <v>3461</v>
      </c>
      <c r="G16" s="117" t="s">
        <v>3350</v>
      </c>
      <c r="H16" s="118" t="s">
        <v>3370</v>
      </c>
    </row>
    <row r="17" spans="1:8" ht="43.5">
      <c r="A17" s="116" t="s">
        <v>3371</v>
      </c>
      <c r="B17" s="117" t="s">
        <v>3372</v>
      </c>
      <c r="C17" s="117">
        <v>3</v>
      </c>
      <c r="D17" s="117" t="s">
        <v>3373</v>
      </c>
      <c r="E17" s="117"/>
      <c r="F17" s="117" t="s">
        <v>3374</v>
      </c>
      <c r="G17" s="117" t="s">
        <v>3375</v>
      </c>
      <c r="H17" s="118" t="s">
        <v>3376</v>
      </c>
    </row>
    <row r="18" spans="1:8" ht="29">
      <c r="A18" s="116" t="s">
        <v>3349</v>
      </c>
      <c r="B18" s="117" t="s">
        <v>3387</v>
      </c>
      <c r="C18" s="117">
        <v>2</v>
      </c>
      <c r="D18" s="117">
        <v>326</v>
      </c>
      <c r="E18" s="117" t="s">
        <v>3451</v>
      </c>
      <c r="F18" s="117" t="s">
        <v>3458</v>
      </c>
      <c r="G18" s="117" t="s">
        <v>3347</v>
      </c>
      <c r="H18" s="118" t="s">
        <v>3394</v>
      </c>
    </row>
    <row r="19" spans="1:8">
      <c r="A19" s="116" t="s">
        <v>3008</v>
      </c>
      <c r="B19" s="117" t="s">
        <v>3365</v>
      </c>
      <c r="C19" s="117">
        <v>2</v>
      </c>
      <c r="D19" s="117" t="s">
        <v>3366</v>
      </c>
      <c r="E19" s="117"/>
      <c r="F19" s="117"/>
      <c r="G19" s="117" t="s">
        <v>3350</v>
      </c>
      <c r="H19" s="118" t="s">
        <v>3367</v>
      </c>
    </row>
    <row r="20" spans="1:8">
      <c r="A20" s="116" t="s">
        <v>3343</v>
      </c>
      <c r="B20" s="117" t="s">
        <v>3344</v>
      </c>
      <c r="C20" s="117">
        <v>2</v>
      </c>
      <c r="D20" s="117">
        <v>145</v>
      </c>
      <c r="E20" s="119" t="s">
        <v>3345</v>
      </c>
      <c r="F20" s="117" t="s">
        <v>3346</v>
      </c>
      <c r="G20" s="117" t="s">
        <v>3347</v>
      </c>
      <c r="H20" s="118" t="s">
        <v>3348</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33086-23D9-1C40-A53C-A128CA921850}">
  <sheetPr codeName="Tabelle11">
    <tabColor theme="9" tint="0.79998168889431442"/>
  </sheetPr>
  <dimension ref="A1:C10"/>
  <sheetViews>
    <sheetView workbookViewId="0">
      <selection activeCell="C1" sqref="C1"/>
    </sheetView>
  </sheetViews>
  <sheetFormatPr defaultColWidth="8.6328125" defaultRowHeight="14.5"/>
  <cols>
    <col min="1" max="1" width="2.36328125" style="14" bestFit="1" customWidth="1"/>
    <col min="2" max="2" width="29.81640625" style="14" bestFit="1" customWidth="1"/>
    <col min="3" max="3" width="93.453125" style="14" customWidth="1"/>
    <col min="4" max="16384" width="8.6328125" style="14"/>
  </cols>
  <sheetData>
    <row r="1" spans="1:3" ht="29">
      <c r="A1" s="76" t="s">
        <v>0</v>
      </c>
      <c r="B1" s="76" t="s">
        <v>3107</v>
      </c>
      <c r="C1" s="76" t="s">
        <v>3242</v>
      </c>
    </row>
    <row r="2" spans="1:3" ht="29">
      <c r="A2" s="77">
        <v>1</v>
      </c>
      <c r="B2" s="77" t="s">
        <v>3110</v>
      </c>
      <c r="C2" s="77" t="s">
        <v>3111</v>
      </c>
    </row>
    <row r="3" spans="1:3" ht="43.5">
      <c r="A3" s="77">
        <v>2</v>
      </c>
      <c r="B3" s="77" t="s">
        <v>3112</v>
      </c>
      <c r="C3" s="77" t="s">
        <v>2731</v>
      </c>
    </row>
    <row r="4" spans="1:3" ht="29">
      <c r="A4" s="77">
        <v>3</v>
      </c>
      <c r="B4" s="77" t="s">
        <v>3113</v>
      </c>
      <c r="C4" s="77" t="s">
        <v>2757</v>
      </c>
    </row>
    <row r="5" spans="1:3">
      <c r="A5" s="77">
        <v>4</v>
      </c>
      <c r="B5" s="77" t="s">
        <v>3114</v>
      </c>
      <c r="C5" s="77" t="s">
        <v>3115</v>
      </c>
    </row>
    <row r="6" spans="1:3" ht="29">
      <c r="A6" s="77">
        <v>5</v>
      </c>
      <c r="B6" s="77" t="s">
        <v>3116</v>
      </c>
      <c r="C6" s="77" t="s">
        <v>2705</v>
      </c>
    </row>
    <row r="7" spans="1:3" ht="29">
      <c r="A7" s="77">
        <v>6</v>
      </c>
      <c r="B7" s="77" t="s">
        <v>3117</v>
      </c>
      <c r="C7" s="77" t="s">
        <v>3118</v>
      </c>
    </row>
    <row r="8" spans="1:3" ht="29">
      <c r="A8" s="77">
        <v>7</v>
      </c>
      <c r="B8" s="77" t="s">
        <v>3085</v>
      </c>
      <c r="C8" s="77" t="s">
        <v>3119</v>
      </c>
    </row>
    <row r="9" spans="1:3" ht="43.5">
      <c r="A9" s="77">
        <v>8</v>
      </c>
      <c r="B9" s="77" t="s">
        <v>3120</v>
      </c>
      <c r="C9" s="77" t="s">
        <v>2858</v>
      </c>
    </row>
    <row r="10" spans="1:3">
      <c r="A10" s="77">
        <v>9</v>
      </c>
      <c r="B10" s="77" t="s">
        <v>3121</v>
      </c>
      <c r="C10" s="77" t="s">
        <v>3122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4B1D8-597B-A345-B354-FDA2BDEF7E99}">
  <sheetPr codeName="Tabelle12">
    <tabColor theme="9" tint="0.79998168889431442"/>
  </sheetPr>
  <dimension ref="A1:AB66"/>
  <sheetViews>
    <sheetView workbookViewId="0">
      <selection activeCell="AB2" sqref="AB2"/>
    </sheetView>
  </sheetViews>
  <sheetFormatPr defaultColWidth="8.81640625" defaultRowHeight="15" customHeight="1"/>
  <cols>
    <col min="1" max="1" width="18.453125" style="74" customWidth="1"/>
    <col min="2" max="2" width="3.453125" style="85" customWidth="1"/>
    <col min="3" max="28" width="3.81640625" style="85" customWidth="1"/>
  </cols>
  <sheetData>
    <row r="1" spans="1:28" s="52" customFormat="1">
      <c r="A1" s="120" t="s">
        <v>3126</v>
      </c>
      <c r="B1" s="121" t="s">
        <v>3125</v>
      </c>
      <c r="C1" s="121">
        <v>36</v>
      </c>
      <c r="D1" s="121">
        <v>53</v>
      </c>
      <c r="E1" s="121">
        <v>64</v>
      </c>
      <c r="F1" s="121">
        <v>74</v>
      </c>
      <c r="G1" s="121">
        <v>93</v>
      </c>
      <c r="H1" s="121">
        <v>112</v>
      </c>
      <c r="I1" s="121">
        <v>130</v>
      </c>
      <c r="J1" s="121">
        <v>140</v>
      </c>
      <c r="K1" s="121">
        <v>145</v>
      </c>
      <c r="L1" s="121">
        <v>158</v>
      </c>
      <c r="M1" s="121">
        <v>181</v>
      </c>
      <c r="N1" s="121">
        <v>213</v>
      </c>
      <c r="O1" s="121">
        <v>258</v>
      </c>
      <c r="P1" s="121">
        <v>262</v>
      </c>
      <c r="Q1" s="121">
        <v>274</v>
      </c>
      <c r="R1" s="105">
        <v>277</v>
      </c>
      <c r="S1" s="105">
        <v>297</v>
      </c>
      <c r="T1" s="105">
        <v>299</v>
      </c>
      <c r="U1" s="105">
        <v>302</v>
      </c>
      <c r="V1" s="105">
        <v>304</v>
      </c>
      <c r="W1" s="105">
        <v>307</v>
      </c>
      <c r="X1" s="105">
        <v>325</v>
      </c>
      <c r="Y1" s="105">
        <v>326</v>
      </c>
      <c r="Z1" s="105">
        <v>336</v>
      </c>
      <c r="AA1" s="105">
        <v>356</v>
      </c>
      <c r="AB1" s="105">
        <v>357</v>
      </c>
    </row>
    <row r="2" spans="1:28">
      <c r="A2" s="74" t="s">
        <v>3124</v>
      </c>
      <c r="B2" s="85">
        <f>COUNTA(C2:Q2)</f>
        <v>13</v>
      </c>
      <c r="C2" s="85" t="s">
        <v>2484</v>
      </c>
      <c r="F2" s="85" t="s">
        <v>2484</v>
      </c>
      <c r="G2" s="85" t="s">
        <v>2484</v>
      </c>
      <c r="H2" s="85" t="s">
        <v>2484</v>
      </c>
      <c r="I2" s="85" t="s">
        <v>2484</v>
      </c>
      <c r="J2" s="85" t="s">
        <v>2484</v>
      </c>
      <c r="K2" s="85" t="s">
        <v>2484</v>
      </c>
      <c r="L2" s="85" t="s">
        <v>2484</v>
      </c>
      <c r="M2" s="85" t="s">
        <v>2484</v>
      </c>
      <c r="N2" s="85" t="s">
        <v>2484</v>
      </c>
      <c r="O2" s="85" t="s">
        <v>2484</v>
      </c>
      <c r="P2" s="85" t="s">
        <v>2484</v>
      </c>
      <c r="Q2" s="85" t="s">
        <v>2484</v>
      </c>
      <c r="R2" s="85" t="s">
        <v>2484</v>
      </c>
      <c r="S2" s="85" t="s">
        <v>2484</v>
      </c>
      <c r="W2" s="85" t="s">
        <v>2484</v>
      </c>
      <c r="X2" s="85" t="s">
        <v>2484</v>
      </c>
      <c r="Y2" s="85" t="s">
        <v>2484</v>
      </c>
      <c r="Z2" s="85" t="s">
        <v>2484</v>
      </c>
      <c r="AA2" s="85" t="s">
        <v>2484</v>
      </c>
      <c r="AB2" s="85" t="s">
        <v>2484</v>
      </c>
    </row>
    <row r="3" spans="1:28">
      <c r="A3" s="74" t="s">
        <v>3123</v>
      </c>
      <c r="B3" s="85">
        <f>COUNTA(C3:AB3)</f>
        <v>2</v>
      </c>
      <c r="L3" s="85" t="s">
        <v>2484</v>
      </c>
      <c r="U3" s="85" t="s">
        <v>2484</v>
      </c>
    </row>
    <row r="4" spans="1:28">
      <c r="A4" s="74" t="s">
        <v>2827</v>
      </c>
      <c r="B4" s="85">
        <f>COUNTA(C4:AB4)</f>
        <v>2</v>
      </c>
      <c r="V4" s="85" t="s">
        <v>2484</v>
      </c>
      <c r="AB4" s="85" t="s">
        <v>2484</v>
      </c>
    </row>
    <row r="5" spans="1:28">
      <c r="A5" s="74" t="s">
        <v>2810</v>
      </c>
      <c r="B5" s="85">
        <f>COUNTA(C5:AB5)</f>
        <v>8</v>
      </c>
      <c r="D5" s="85" t="s">
        <v>2484</v>
      </c>
      <c r="F5" s="85" t="s">
        <v>2484</v>
      </c>
      <c r="G5" s="85" t="s">
        <v>2484</v>
      </c>
      <c r="J5" s="85" t="s">
        <v>2484</v>
      </c>
      <c r="L5" s="85" t="s">
        <v>2484</v>
      </c>
      <c r="P5" s="85" t="s">
        <v>2484</v>
      </c>
      <c r="T5" s="85" t="s">
        <v>2484</v>
      </c>
      <c r="U5" s="85" t="s">
        <v>2484</v>
      </c>
    </row>
    <row r="6" spans="1:28">
      <c r="A6" s="74" t="s">
        <v>2980</v>
      </c>
      <c r="B6" s="85">
        <f>COUNTA(C6:AB6)</f>
        <v>0</v>
      </c>
    </row>
    <row r="7" spans="1:28"/>
    <row r="8" spans="1:28"/>
    <row r="9" spans="1:28"/>
    <row r="10" spans="1:28"/>
    <row r="11" spans="1:28"/>
    <row r="12" spans="1:28"/>
    <row r="13" spans="1:28"/>
    <row r="14" spans="1:28"/>
    <row r="15" spans="1:28"/>
    <row r="16" spans="1:28"/>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8D6DB-E94D-D449-9CCF-915E04EB2E01}">
  <sheetPr>
    <tabColor theme="9" tint="0.79998168889431442"/>
  </sheetPr>
  <dimension ref="A1:AB68"/>
  <sheetViews>
    <sheetView workbookViewId="0">
      <selection activeCell="AC1" sqref="AC1"/>
    </sheetView>
  </sheetViews>
  <sheetFormatPr defaultColWidth="8.81640625" defaultRowHeight="14.5"/>
  <cols>
    <col min="1" max="1" width="23.81640625" style="74" customWidth="1"/>
    <col min="2" max="2" width="4.36328125" style="85" customWidth="1"/>
    <col min="3" max="7" width="3.81640625" style="74" customWidth="1"/>
    <col min="8" max="17" width="4.1796875" style="74" bestFit="1" customWidth="1"/>
    <col min="18" max="28" width="4.1796875" bestFit="1" customWidth="1"/>
  </cols>
  <sheetData>
    <row r="1" spans="1:28" s="52" customFormat="1">
      <c r="A1" s="120" t="s">
        <v>3406</v>
      </c>
      <c r="B1" s="121" t="s">
        <v>3125</v>
      </c>
      <c r="C1" s="120">
        <v>36</v>
      </c>
      <c r="D1" s="120">
        <v>53</v>
      </c>
      <c r="E1" s="120">
        <v>64</v>
      </c>
      <c r="F1" s="120">
        <v>74</v>
      </c>
      <c r="G1" s="120">
        <v>93</v>
      </c>
      <c r="H1" s="120">
        <v>112</v>
      </c>
      <c r="I1" s="120">
        <v>130</v>
      </c>
      <c r="J1" s="120">
        <v>140</v>
      </c>
      <c r="K1" s="120">
        <v>145</v>
      </c>
      <c r="L1" s="120">
        <v>158</v>
      </c>
      <c r="M1" s="120">
        <v>181</v>
      </c>
      <c r="N1" s="120">
        <v>213</v>
      </c>
      <c r="O1" s="120">
        <v>258</v>
      </c>
      <c r="P1" s="120">
        <v>262</v>
      </c>
      <c r="Q1" s="120">
        <v>274</v>
      </c>
      <c r="R1" s="105">
        <v>277</v>
      </c>
      <c r="S1" s="105">
        <v>297</v>
      </c>
      <c r="T1" s="105">
        <v>299</v>
      </c>
      <c r="U1" s="105">
        <v>302</v>
      </c>
      <c r="V1" s="105">
        <v>304</v>
      </c>
      <c r="W1" s="105">
        <v>307</v>
      </c>
      <c r="X1" s="105">
        <v>325</v>
      </c>
      <c r="Y1" s="105">
        <v>326</v>
      </c>
      <c r="Z1" s="105">
        <v>336</v>
      </c>
      <c r="AA1" s="105">
        <v>356</v>
      </c>
      <c r="AB1" s="105">
        <v>357</v>
      </c>
    </row>
    <row r="2" spans="1:28">
      <c r="A2" s="74" t="s">
        <v>2679</v>
      </c>
      <c r="B2" s="85">
        <f>COUNTA(C2:AB2)</f>
        <v>5</v>
      </c>
      <c r="K2" s="74" t="s">
        <v>2484</v>
      </c>
      <c r="P2" s="74" t="s">
        <v>2484</v>
      </c>
      <c r="R2" s="85" t="s">
        <v>2484</v>
      </c>
      <c r="S2" s="85"/>
      <c r="T2" s="85" t="s">
        <v>2484</v>
      </c>
      <c r="U2" s="85"/>
      <c r="V2" s="85"/>
      <c r="W2" s="85" t="s">
        <v>2484</v>
      </c>
      <c r="X2" s="85"/>
      <c r="Y2" s="85"/>
      <c r="Z2" s="85"/>
      <c r="AA2" s="85"/>
      <c r="AB2" s="85"/>
    </row>
    <row r="3" spans="1:28">
      <c r="A3" s="74" t="s">
        <v>2667</v>
      </c>
      <c r="B3" s="85">
        <f>COUNTA(C3:AB3)</f>
        <v>16</v>
      </c>
      <c r="E3" s="74" t="s">
        <v>2484</v>
      </c>
      <c r="G3" s="74" t="s">
        <v>2484</v>
      </c>
      <c r="H3" s="74" t="s">
        <v>2484</v>
      </c>
      <c r="I3" s="74" t="s">
        <v>2484</v>
      </c>
      <c r="J3" s="74" t="s">
        <v>2484</v>
      </c>
      <c r="L3" s="74" t="s">
        <v>2484</v>
      </c>
      <c r="M3" s="74" t="s">
        <v>2484</v>
      </c>
      <c r="N3" s="74" t="s">
        <v>2484</v>
      </c>
      <c r="O3" s="74" t="s">
        <v>2484</v>
      </c>
      <c r="Q3" s="74" t="s">
        <v>2484</v>
      </c>
      <c r="R3" s="85" t="s">
        <v>2484</v>
      </c>
      <c r="S3" s="85" t="s">
        <v>2484</v>
      </c>
      <c r="T3" s="85"/>
      <c r="U3" s="85" t="s">
        <v>2484</v>
      </c>
      <c r="V3" s="85"/>
      <c r="W3" s="85"/>
      <c r="X3" s="85"/>
      <c r="Y3" s="85" t="s">
        <v>2484</v>
      </c>
      <c r="Z3" s="85"/>
      <c r="AA3" s="85" t="s">
        <v>2484</v>
      </c>
      <c r="AB3" s="85" t="s">
        <v>2484</v>
      </c>
    </row>
    <row r="4" spans="1:28">
      <c r="A4" s="74" t="s">
        <v>3407</v>
      </c>
      <c r="B4" s="85">
        <f>COUNTA(C4:AB4)</f>
        <v>1</v>
      </c>
      <c r="F4" s="74" t="s">
        <v>2484</v>
      </c>
      <c r="R4" s="85"/>
      <c r="S4" s="85"/>
      <c r="T4" s="85"/>
      <c r="U4" s="85"/>
      <c r="V4" s="85"/>
      <c r="W4" s="85"/>
      <c r="X4" s="85"/>
      <c r="Y4" s="85"/>
      <c r="Z4" s="85"/>
      <c r="AA4" s="85"/>
      <c r="AB4" s="85"/>
    </row>
    <row r="5" spans="1:28">
      <c r="A5" s="74" t="s">
        <v>2586</v>
      </c>
      <c r="B5" s="85">
        <f t="shared" ref="B5:B8" si="0">COUNTA(C5:AB5)</f>
        <v>5</v>
      </c>
      <c r="C5" s="74" t="s">
        <v>2484</v>
      </c>
      <c r="D5" s="74" t="s">
        <v>2484</v>
      </c>
      <c r="R5" s="85"/>
      <c r="S5" s="85"/>
      <c r="T5" s="85"/>
      <c r="U5" s="85"/>
      <c r="V5" s="85" t="s">
        <v>2484</v>
      </c>
      <c r="W5" s="85"/>
      <c r="X5" s="85" t="s">
        <v>2484</v>
      </c>
      <c r="Y5" s="85"/>
      <c r="Z5" s="85" t="s">
        <v>2484</v>
      </c>
      <c r="AA5" s="85"/>
      <c r="AB5" s="85"/>
    </row>
    <row r="6" spans="1:28">
      <c r="A6" s="74" t="s">
        <v>3408</v>
      </c>
      <c r="B6" s="85">
        <f t="shared" si="0"/>
        <v>0</v>
      </c>
      <c r="R6" s="85"/>
      <c r="S6" s="85"/>
      <c r="T6" s="85"/>
      <c r="U6" s="85"/>
      <c r="V6" s="85"/>
      <c r="W6" s="85"/>
      <c r="X6" s="85"/>
      <c r="Y6" s="85"/>
      <c r="Z6" s="85"/>
      <c r="AA6" s="85"/>
      <c r="AB6" s="85"/>
    </row>
    <row r="7" spans="1:28">
      <c r="A7" s="74" t="s">
        <v>2542</v>
      </c>
      <c r="B7" s="85">
        <f t="shared" si="0"/>
        <v>0</v>
      </c>
      <c r="R7" s="85"/>
      <c r="S7" s="85"/>
      <c r="T7" s="85"/>
      <c r="U7" s="85"/>
      <c r="V7" s="85"/>
      <c r="W7" s="85"/>
      <c r="X7" s="85"/>
      <c r="Y7" s="85"/>
      <c r="Z7" s="85"/>
      <c r="AA7" s="85"/>
      <c r="AB7" s="85"/>
    </row>
    <row r="8" spans="1:28">
      <c r="A8" s="74" t="s">
        <v>2645</v>
      </c>
      <c r="B8" s="85">
        <f t="shared" si="0"/>
        <v>0</v>
      </c>
      <c r="R8" s="85"/>
      <c r="S8" s="85"/>
      <c r="T8" s="85"/>
      <c r="U8" s="85"/>
      <c r="V8" s="85"/>
      <c r="W8" s="85"/>
      <c r="X8" s="85"/>
      <c r="Y8" s="85"/>
      <c r="Z8" s="85"/>
      <c r="AA8" s="85"/>
      <c r="AB8" s="85"/>
    </row>
    <row r="9" spans="1:28">
      <c r="R9" s="85"/>
      <c r="S9" s="85"/>
      <c r="T9" s="85"/>
      <c r="U9" s="85"/>
      <c r="V9" s="85"/>
      <c r="W9" s="85"/>
      <c r="X9" s="85"/>
      <c r="Y9" s="85"/>
      <c r="Z9" s="85"/>
      <c r="AA9" s="85"/>
      <c r="AB9" s="85"/>
    </row>
    <row r="10" spans="1:28">
      <c r="R10" s="85"/>
      <c r="S10" s="85"/>
      <c r="T10" s="85"/>
      <c r="U10" s="85"/>
      <c r="V10" s="85"/>
      <c r="W10" s="85"/>
      <c r="X10" s="85"/>
      <c r="Y10" s="85"/>
      <c r="Z10" s="85"/>
      <c r="AA10" s="85"/>
      <c r="AB10" s="85"/>
    </row>
    <row r="11" spans="1:28">
      <c r="R11" s="85"/>
      <c r="S11" s="85"/>
      <c r="T11" s="85"/>
      <c r="U11" s="85"/>
      <c r="V11" s="85"/>
      <c r="W11" s="85"/>
      <c r="X11" s="85"/>
      <c r="Y11" s="85"/>
      <c r="Z11" s="85"/>
      <c r="AA11" s="85"/>
      <c r="AB11" s="85"/>
    </row>
    <row r="12" spans="1:28">
      <c r="R12" s="85"/>
      <c r="S12" s="85"/>
      <c r="T12" s="85"/>
      <c r="U12" s="85"/>
      <c r="V12" s="85"/>
      <c r="W12" s="85"/>
      <c r="X12" s="85"/>
      <c r="Y12" s="85"/>
      <c r="Z12" s="85"/>
      <c r="AA12" s="85"/>
      <c r="AB12" s="85"/>
    </row>
    <row r="13" spans="1:28">
      <c r="R13" s="85"/>
      <c r="S13" s="85"/>
      <c r="T13" s="85"/>
      <c r="U13" s="85"/>
      <c r="V13" s="85"/>
      <c r="W13" s="85"/>
      <c r="X13" s="85"/>
      <c r="Y13" s="85"/>
      <c r="Z13" s="85"/>
      <c r="AA13" s="85"/>
      <c r="AB13" s="85"/>
    </row>
    <row r="14" spans="1:28">
      <c r="R14" s="85"/>
      <c r="S14" s="85"/>
      <c r="T14" s="85"/>
      <c r="U14" s="85"/>
      <c r="V14" s="85"/>
      <c r="W14" s="85"/>
      <c r="X14" s="85"/>
      <c r="Y14" s="85"/>
      <c r="Z14" s="85"/>
      <c r="AA14" s="85"/>
      <c r="AB14" s="85"/>
    </row>
    <row r="15" spans="1:28">
      <c r="R15" s="85"/>
      <c r="S15" s="85"/>
      <c r="T15" s="85"/>
      <c r="U15" s="85"/>
      <c r="V15" s="85"/>
      <c r="W15" s="85"/>
      <c r="X15" s="85"/>
      <c r="Y15" s="85"/>
      <c r="Z15" s="85"/>
      <c r="AA15" s="85"/>
      <c r="AB15" s="85"/>
    </row>
    <row r="16" spans="1:28">
      <c r="R16" s="85"/>
      <c r="S16" s="85"/>
      <c r="T16" s="85"/>
      <c r="U16" s="85"/>
      <c r="V16" s="85"/>
      <c r="W16" s="85"/>
      <c r="X16" s="85"/>
      <c r="Y16" s="85"/>
      <c r="Z16" s="85"/>
      <c r="AA16" s="85"/>
      <c r="AB16" s="85"/>
    </row>
    <row r="17" spans="18:28">
      <c r="R17" s="85"/>
      <c r="S17" s="85"/>
      <c r="T17" s="85"/>
      <c r="U17" s="85"/>
      <c r="V17" s="85"/>
      <c r="W17" s="85"/>
      <c r="X17" s="85"/>
      <c r="Y17" s="85"/>
      <c r="Z17" s="85"/>
      <c r="AA17" s="85"/>
      <c r="AB17" s="85"/>
    </row>
    <row r="18" spans="18:28">
      <c r="R18" s="85"/>
      <c r="S18" s="85"/>
      <c r="T18" s="85"/>
      <c r="U18" s="85"/>
      <c r="V18" s="85"/>
      <c r="W18" s="85"/>
      <c r="X18" s="85"/>
      <c r="Y18" s="85"/>
      <c r="Z18" s="85"/>
      <c r="AA18" s="85"/>
      <c r="AB18" s="85"/>
    </row>
    <row r="19" spans="18:28">
      <c r="R19" s="85"/>
      <c r="S19" s="85"/>
      <c r="T19" s="85"/>
      <c r="U19" s="85"/>
      <c r="V19" s="85"/>
      <c r="W19" s="85"/>
      <c r="X19" s="85"/>
      <c r="Y19" s="85"/>
      <c r="Z19" s="85"/>
      <c r="AA19" s="85"/>
      <c r="AB19" s="85"/>
    </row>
    <row r="20" spans="18:28">
      <c r="R20" s="85"/>
      <c r="S20" s="85"/>
      <c r="T20" s="85"/>
      <c r="U20" s="85"/>
      <c r="V20" s="85"/>
      <c r="W20" s="85"/>
      <c r="X20" s="85"/>
      <c r="Y20" s="85"/>
      <c r="Z20" s="85"/>
      <c r="AA20" s="85"/>
      <c r="AB20" s="85"/>
    </row>
    <row r="21" spans="18:28">
      <c r="R21" s="85"/>
      <c r="S21" s="85"/>
      <c r="T21" s="85"/>
      <c r="U21" s="85"/>
      <c r="V21" s="85"/>
      <c r="W21" s="85"/>
      <c r="X21" s="85"/>
      <c r="Y21" s="85"/>
      <c r="Z21" s="85"/>
      <c r="AA21" s="85"/>
      <c r="AB21" s="85"/>
    </row>
    <row r="22" spans="18:28">
      <c r="R22" s="85"/>
      <c r="S22" s="85"/>
      <c r="T22" s="85"/>
      <c r="U22" s="85"/>
      <c r="V22" s="85"/>
      <c r="W22" s="85"/>
      <c r="X22" s="85"/>
      <c r="Y22" s="85"/>
      <c r="Z22" s="85"/>
      <c r="AA22" s="85"/>
      <c r="AB22" s="85"/>
    </row>
    <row r="23" spans="18:28">
      <c r="R23" s="85"/>
      <c r="S23" s="85"/>
      <c r="T23" s="85"/>
      <c r="U23" s="85"/>
      <c r="V23" s="85"/>
      <c r="W23" s="85"/>
      <c r="X23" s="85"/>
      <c r="Y23" s="85"/>
      <c r="Z23" s="85"/>
      <c r="AA23" s="85"/>
      <c r="AB23" s="85"/>
    </row>
    <row r="24" spans="18:28">
      <c r="R24" s="85"/>
      <c r="S24" s="85"/>
      <c r="T24" s="85"/>
      <c r="U24" s="85"/>
      <c r="V24" s="85"/>
      <c r="W24" s="85"/>
      <c r="X24" s="85"/>
      <c r="Y24" s="85"/>
      <c r="Z24" s="85"/>
      <c r="AA24" s="85"/>
      <c r="AB24" s="85"/>
    </row>
    <row r="25" spans="18:28">
      <c r="R25" s="85"/>
      <c r="S25" s="85"/>
      <c r="T25" s="85"/>
      <c r="U25" s="85"/>
      <c r="V25" s="85"/>
      <c r="W25" s="85"/>
      <c r="X25" s="85"/>
      <c r="Y25" s="85"/>
      <c r="Z25" s="85"/>
      <c r="AA25" s="85"/>
      <c r="AB25" s="85"/>
    </row>
    <row r="26" spans="18:28">
      <c r="R26" s="85"/>
      <c r="S26" s="85"/>
      <c r="T26" s="85"/>
      <c r="U26" s="85"/>
      <c r="V26" s="85"/>
      <c r="W26" s="85"/>
      <c r="X26" s="85"/>
      <c r="Y26" s="85"/>
      <c r="Z26" s="85"/>
      <c r="AA26" s="85"/>
      <c r="AB26" s="85"/>
    </row>
    <row r="27" spans="18:28">
      <c r="R27" s="85"/>
      <c r="S27" s="85"/>
      <c r="T27" s="85"/>
      <c r="U27" s="85"/>
      <c r="V27" s="85"/>
      <c r="W27" s="85"/>
      <c r="X27" s="85"/>
      <c r="Y27" s="85"/>
      <c r="Z27" s="85"/>
      <c r="AA27" s="85"/>
      <c r="AB27" s="85"/>
    </row>
    <row r="28" spans="18:28">
      <c r="R28" s="85"/>
      <c r="S28" s="85"/>
      <c r="T28" s="85"/>
      <c r="U28" s="85"/>
      <c r="V28" s="85"/>
      <c r="W28" s="85"/>
      <c r="X28" s="85"/>
      <c r="Y28" s="85"/>
      <c r="Z28" s="85"/>
      <c r="AA28" s="85"/>
      <c r="AB28" s="85"/>
    </row>
    <row r="29" spans="18:28">
      <c r="R29" s="85"/>
      <c r="S29" s="85"/>
      <c r="T29" s="85"/>
      <c r="U29" s="85"/>
      <c r="V29" s="85"/>
      <c r="W29" s="85"/>
      <c r="X29" s="85"/>
      <c r="Y29" s="85"/>
      <c r="Z29" s="85"/>
      <c r="AA29" s="85"/>
      <c r="AB29" s="85"/>
    </row>
    <row r="30" spans="18:28">
      <c r="R30" s="85"/>
      <c r="S30" s="85"/>
      <c r="T30" s="85"/>
      <c r="U30" s="85"/>
      <c r="V30" s="85"/>
      <c r="W30" s="85"/>
      <c r="X30" s="85"/>
      <c r="Y30" s="85"/>
      <c r="Z30" s="85"/>
      <c r="AA30" s="85"/>
      <c r="AB30" s="85"/>
    </row>
    <row r="31" spans="18:28">
      <c r="R31" s="85"/>
      <c r="S31" s="85"/>
      <c r="T31" s="85"/>
      <c r="U31" s="85"/>
      <c r="V31" s="85"/>
      <c r="W31" s="85"/>
      <c r="X31" s="85"/>
      <c r="Y31" s="85"/>
      <c r="Z31" s="85"/>
      <c r="AA31" s="85"/>
      <c r="AB31" s="85"/>
    </row>
    <row r="32" spans="18:28">
      <c r="R32" s="85"/>
      <c r="S32" s="85"/>
      <c r="T32" s="85"/>
      <c r="U32" s="85"/>
      <c r="V32" s="85"/>
      <c r="W32" s="85"/>
      <c r="X32" s="85"/>
      <c r="Y32" s="85"/>
      <c r="Z32" s="85"/>
      <c r="AA32" s="85"/>
      <c r="AB32" s="85"/>
    </row>
    <row r="33" spans="18:28">
      <c r="R33" s="85"/>
      <c r="S33" s="85"/>
      <c r="T33" s="85"/>
      <c r="U33" s="85"/>
      <c r="V33" s="85"/>
      <c r="W33" s="85"/>
      <c r="X33" s="85"/>
      <c r="Y33" s="85"/>
      <c r="Z33" s="85"/>
      <c r="AA33" s="85"/>
      <c r="AB33" s="85"/>
    </row>
    <row r="34" spans="18:28">
      <c r="R34" s="85"/>
      <c r="S34" s="85"/>
      <c r="T34" s="85"/>
      <c r="U34" s="85"/>
      <c r="V34" s="85"/>
      <c r="W34" s="85"/>
      <c r="X34" s="85"/>
      <c r="Y34" s="85"/>
      <c r="Z34" s="85"/>
      <c r="AA34" s="85"/>
      <c r="AB34" s="85"/>
    </row>
    <row r="35" spans="18:28">
      <c r="R35" s="85"/>
      <c r="S35" s="85"/>
      <c r="T35" s="85"/>
      <c r="U35" s="85"/>
      <c r="V35" s="85"/>
      <c r="W35" s="85"/>
      <c r="X35" s="85"/>
      <c r="Y35" s="85"/>
      <c r="Z35" s="85"/>
      <c r="AA35" s="85"/>
      <c r="AB35" s="85"/>
    </row>
    <row r="36" spans="18:28">
      <c r="R36" s="85"/>
      <c r="S36" s="85"/>
      <c r="T36" s="85"/>
      <c r="U36" s="85"/>
      <c r="V36" s="85"/>
      <c r="W36" s="85"/>
      <c r="X36" s="85"/>
      <c r="Y36" s="85"/>
      <c r="Z36" s="85"/>
      <c r="AA36" s="85"/>
      <c r="AB36" s="85"/>
    </row>
    <row r="37" spans="18:28">
      <c r="R37" s="85"/>
      <c r="S37" s="85"/>
      <c r="T37" s="85"/>
      <c r="U37" s="85"/>
      <c r="V37" s="85"/>
      <c r="W37" s="85"/>
      <c r="X37" s="85"/>
      <c r="Y37" s="85"/>
      <c r="Z37" s="85"/>
      <c r="AA37" s="85"/>
      <c r="AB37" s="85"/>
    </row>
    <row r="38" spans="18:28">
      <c r="R38" s="85"/>
      <c r="S38" s="85"/>
      <c r="T38" s="85"/>
      <c r="U38" s="85"/>
      <c r="V38" s="85"/>
      <c r="W38" s="85"/>
      <c r="X38" s="85"/>
      <c r="Y38" s="85"/>
      <c r="Z38" s="85"/>
      <c r="AA38" s="85"/>
      <c r="AB38" s="85"/>
    </row>
    <row r="39" spans="18:28">
      <c r="R39" s="85"/>
      <c r="S39" s="85"/>
      <c r="T39" s="85"/>
      <c r="U39" s="85"/>
      <c r="V39" s="85"/>
      <c r="W39" s="85"/>
      <c r="X39" s="85"/>
      <c r="Y39" s="85"/>
      <c r="Z39" s="85"/>
      <c r="AA39" s="85"/>
      <c r="AB39" s="85"/>
    </row>
    <row r="40" spans="18:28">
      <c r="R40" s="85"/>
      <c r="S40" s="85"/>
      <c r="T40" s="85"/>
      <c r="U40" s="85"/>
      <c r="V40" s="85"/>
      <c r="W40" s="85"/>
      <c r="X40" s="85"/>
      <c r="Y40" s="85"/>
      <c r="Z40" s="85"/>
      <c r="AA40" s="85"/>
      <c r="AB40" s="85"/>
    </row>
    <row r="41" spans="18:28">
      <c r="R41" s="85"/>
      <c r="S41" s="85"/>
      <c r="T41" s="85"/>
      <c r="U41" s="85"/>
      <c r="V41" s="85"/>
      <c r="W41" s="85"/>
      <c r="X41" s="85"/>
      <c r="Y41" s="85"/>
      <c r="Z41" s="85"/>
      <c r="AA41" s="85"/>
      <c r="AB41" s="85"/>
    </row>
    <row r="42" spans="18:28">
      <c r="R42" s="85"/>
      <c r="S42" s="85"/>
      <c r="T42" s="85"/>
      <c r="U42" s="85"/>
      <c r="V42" s="85"/>
      <c r="W42" s="85"/>
      <c r="X42" s="85"/>
      <c r="Y42" s="85"/>
      <c r="Z42" s="85"/>
      <c r="AA42" s="85"/>
      <c r="AB42" s="85"/>
    </row>
    <row r="43" spans="18:28">
      <c r="R43" s="85"/>
      <c r="S43" s="85"/>
      <c r="T43" s="85"/>
      <c r="U43" s="85"/>
      <c r="V43" s="85"/>
      <c r="W43" s="85"/>
      <c r="X43" s="85"/>
      <c r="Y43" s="85"/>
      <c r="Z43" s="85"/>
      <c r="AA43" s="85"/>
      <c r="AB43" s="85"/>
    </row>
    <row r="44" spans="18:28">
      <c r="R44" s="85"/>
      <c r="S44" s="85"/>
      <c r="T44" s="85"/>
      <c r="U44" s="85"/>
      <c r="V44" s="85"/>
      <c r="W44" s="85"/>
      <c r="X44" s="85"/>
      <c r="Y44" s="85"/>
      <c r="Z44" s="85"/>
      <c r="AA44" s="85"/>
      <c r="AB44" s="85"/>
    </row>
    <row r="45" spans="18:28">
      <c r="R45" s="85"/>
      <c r="S45" s="85"/>
      <c r="T45" s="85"/>
      <c r="U45" s="85"/>
      <c r="V45" s="85"/>
      <c r="W45" s="85"/>
      <c r="X45" s="85"/>
      <c r="Y45" s="85"/>
      <c r="Z45" s="85"/>
      <c r="AA45" s="85"/>
      <c r="AB45" s="85"/>
    </row>
    <row r="46" spans="18:28">
      <c r="R46" s="85"/>
      <c r="S46" s="85"/>
      <c r="T46" s="85"/>
      <c r="U46" s="85"/>
      <c r="V46" s="85"/>
      <c r="W46" s="85"/>
      <c r="X46" s="85"/>
      <c r="Y46" s="85"/>
      <c r="Z46" s="85"/>
      <c r="AA46" s="85"/>
      <c r="AB46" s="85"/>
    </row>
    <row r="47" spans="18:28">
      <c r="R47" s="85"/>
      <c r="S47" s="85"/>
      <c r="T47" s="85"/>
      <c r="U47" s="85"/>
      <c r="V47" s="85"/>
      <c r="W47" s="85"/>
      <c r="X47" s="85"/>
      <c r="Y47" s="85"/>
      <c r="Z47" s="85"/>
      <c r="AA47" s="85"/>
      <c r="AB47" s="85"/>
    </row>
    <row r="48" spans="18:28">
      <c r="R48" s="85"/>
      <c r="S48" s="85"/>
      <c r="T48" s="85"/>
      <c r="U48" s="85"/>
      <c r="V48" s="85"/>
      <c r="W48" s="85"/>
      <c r="X48" s="85"/>
      <c r="Y48" s="85"/>
      <c r="Z48" s="85"/>
      <c r="AA48" s="85"/>
      <c r="AB48" s="85"/>
    </row>
    <row r="49" spans="18:28">
      <c r="R49" s="85"/>
      <c r="S49" s="85"/>
      <c r="T49" s="85"/>
      <c r="U49" s="85"/>
      <c r="V49" s="85"/>
      <c r="W49" s="85"/>
      <c r="X49" s="85"/>
      <c r="Y49" s="85"/>
      <c r="Z49" s="85"/>
      <c r="AA49" s="85"/>
      <c r="AB49" s="85"/>
    </row>
    <row r="50" spans="18:28">
      <c r="R50" s="85"/>
      <c r="S50" s="85"/>
      <c r="T50" s="85"/>
      <c r="U50" s="85"/>
      <c r="V50" s="85"/>
      <c r="W50" s="85"/>
      <c r="X50" s="85"/>
      <c r="Y50" s="85"/>
      <c r="Z50" s="85"/>
      <c r="AA50" s="85"/>
      <c r="AB50" s="85"/>
    </row>
    <row r="51" spans="18:28">
      <c r="R51" s="85"/>
      <c r="S51" s="85"/>
      <c r="T51" s="85"/>
      <c r="U51" s="85"/>
      <c r="V51" s="85"/>
      <c r="W51" s="85"/>
      <c r="X51" s="85"/>
      <c r="Y51" s="85"/>
      <c r="Z51" s="85"/>
      <c r="AA51" s="85"/>
      <c r="AB51" s="85"/>
    </row>
    <row r="52" spans="18:28">
      <c r="R52" s="85"/>
      <c r="S52" s="85"/>
      <c r="T52" s="85"/>
      <c r="U52" s="85"/>
      <c r="V52" s="85"/>
      <c r="W52" s="85"/>
      <c r="X52" s="85"/>
      <c r="Y52" s="85"/>
      <c r="Z52" s="85"/>
      <c r="AA52" s="85"/>
      <c r="AB52" s="85"/>
    </row>
    <row r="53" spans="18:28">
      <c r="R53" s="85"/>
      <c r="S53" s="85"/>
      <c r="T53" s="85"/>
      <c r="U53" s="85"/>
      <c r="V53" s="85"/>
      <c r="W53" s="85"/>
      <c r="X53" s="85"/>
      <c r="Y53" s="85"/>
      <c r="Z53" s="85"/>
      <c r="AA53" s="85"/>
      <c r="AB53" s="85"/>
    </row>
    <row r="54" spans="18:28">
      <c r="R54" s="85"/>
      <c r="S54" s="85"/>
      <c r="T54" s="85"/>
      <c r="U54" s="85"/>
      <c r="V54" s="85"/>
      <c r="W54" s="85"/>
      <c r="X54" s="85"/>
      <c r="Y54" s="85"/>
      <c r="Z54" s="85"/>
      <c r="AA54" s="85"/>
      <c r="AB54" s="85"/>
    </row>
    <row r="55" spans="18:28">
      <c r="R55" s="85"/>
      <c r="S55" s="85"/>
      <c r="T55" s="85"/>
      <c r="U55" s="85"/>
      <c r="V55" s="85"/>
      <c r="W55" s="85"/>
      <c r="X55" s="85"/>
      <c r="Y55" s="85"/>
      <c r="Z55" s="85"/>
      <c r="AA55" s="85"/>
      <c r="AB55" s="85"/>
    </row>
    <row r="56" spans="18:28">
      <c r="R56" s="85"/>
      <c r="S56" s="85"/>
      <c r="T56" s="85"/>
      <c r="U56" s="85"/>
      <c r="V56" s="85"/>
      <c r="W56" s="85"/>
      <c r="X56" s="85"/>
      <c r="Y56" s="85"/>
      <c r="Z56" s="85"/>
      <c r="AA56" s="85"/>
      <c r="AB56" s="85"/>
    </row>
    <row r="57" spans="18:28">
      <c r="R57" s="85"/>
      <c r="S57" s="85"/>
      <c r="T57" s="85"/>
      <c r="U57" s="85"/>
      <c r="V57" s="85"/>
      <c r="W57" s="85"/>
      <c r="X57" s="85"/>
      <c r="Y57" s="85"/>
      <c r="Z57" s="85"/>
      <c r="AA57" s="85"/>
      <c r="AB57" s="85"/>
    </row>
    <row r="58" spans="18:28">
      <c r="R58" s="85"/>
      <c r="S58" s="85"/>
      <c r="T58" s="85"/>
      <c r="U58" s="85"/>
      <c r="V58" s="85"/>
      <c r="W58" s="85"/>
      <c r="X58" s="85"/>
      <c r="Y58" s="85"/>
      <c r="Z58" s="85"/>
      <c r="AA58" s="85"/>
      <c r="AB58" s="85"/>
    </row>
    <row r="59" spans="18:28">
      <c r="R59" s="85"/>
      <c r="S59" s="85"/>
      <c r="T59" s="85"/>
      <c r="U59" s="85"/>
      <c r="V59" s="85"/>
      <c r="W59" s="85"/>
      <c r="X59" s="85"/>
      <c r="Y59" s="85"/>
      <c r="Z59" s="85"/>
      <c r="AA59" s="85"/>
      <c r="AB59" s="85"/>
    </row>
    <row r="60" spans="18:28">
      <c r="R60" s="85"/>
      <c r="S60" s="85"/>
      <c r="T60" s="85"/>
      <c r="U60" s="85"/>
      <c r="V60" s="85"/>
      <c r="W60" s="85"/>
      <c r="X60" s="85"/>
      <c r="Y60" s="85"/>
      <c r="Z60" s="85"/>
      <c r="AA60" s="85"/>
      <c r="AB60" s="85"/>
    </row>
    <row r="61" spans="18:28">
      <c r="R61" s="85"/>
      <c r="S61" s="85"/>
      <c r="T61" s="85"/>
      <c r="U61" s="85"/>
      <c r="V61" s="85"/>
      <c r="W61" s="85"/>
      <c r="X61" s="85"/>
      <c r="Y61" s="85"/>
      <c r="Z61" s="85"/>
      <c r="AA61" s="85"/>
      <c r="AB61" s="85"/>
    </row>
    <row r="62" spans="18:28">
      <c r="R62" s="85"/>
      <c r="S62" s="85"/>
      <c r="T62" s="85"/>
      <c r="U62" s="85"/>
      <c r="V62" s="85"/>
      <c r="W62" s="85"/>
      <c r="X62" s="85"/>
      <c r="Y62" s="85"/>
      <c r="Z62" s="85"/>
      <c r="AA62" s="85"/>
      <c r="AB62" s="85"/>
    </row>
    <row r="63" spans="18:28">
      <c r="R63" s="85"/>
      <c r="S63" s="85"/>
      <c r="T63" s="85"/>
      <c r="U63" s="85"/>
      <c r="V63" s="85"/>
      <c r="W63" s="85"/>
      <c r="X63" s="85"/>
      <c r="Y63" s="85"/>
      <c r="Z63" s="85"/>
      <c r="AA63" s="85"/>
      <c r="AB63" s="85"/>
    </row>
    <row r="64" spans="18:28">
      <c r="R64" s="85"/>
      <c r="S64" s="85"/>
      <c r="T64" s="85"/>
      <c r="U64" s="85"/>
      <c r="V64" s="85"/>
      <c r="W64" s="85"/>
      <c r="X64" s="85"/>
      <c r="Y64" s="85"/>
      <c r="Z64" s="85"/>
      <c r="AA64" s="85"/>
      <c r="AB64" s="85"/>
    </row>
    <row r="65" spans="18:28">
      <c r="R65" s="85"/>
      <c r="S65" s="85"/>
      <c r="T65" s="85"/>
      <c r="U65" s="85"/>
      <c r="V65" s="85"/>
      <c r="W65" s="85"/>
      <c r="X65" s="85"/>
      <c r="Y65" s="85"/>
      <c r="Z65" s="85"/>
      <c r="AA65" s="85"/>
      <c r="AB65" s="85"/>
    </row>
    <row r="66" spans="18:28">
      <c r="R66" s="85"/>
      <c r="S66" s="85"/>
      <c r="T66" s="85"/>
      <c r="U66" s="85"/>
      <c r="V66" s="85"/>
      <c r="W66" s="85"/>
      <c r="X66" s="85"/>
      <c r="Y66" s="85"/>
      <c r="Z66" s="85"/>
      <c r="AA66" s="85"/>
      <c r="AB66" s="85"/>
    </row>
    <row r="67" spans="18:28">
      <c r="R67" s="85"/>
      <c r="S67" s="85"/>
      <c r="T67" s="85"/>
      <c r="U67" s="85"/>
      <c r="V67" s="85"/>
      <c r="W67" s="85"/>
      <c r="X67" s="85"/>
      <c r="Y67" s="85"/>
      <c r="Z67" s="85"/>
      <c r="AA67" s="85"/>
      <c r="AB67" s="85"/>
    </row>
    <row r="68" spans="18:28">
      <c r="R68" s="85"/>
      <c r="S68" s="85"/>
      <c r="T68" s="85"/>
      <c r="U68" s="85"/>
      <c r="V68" s="85"/>
      <c r="W68" s="85"/>
      <c r="X68" s="85"/>
      <c r="Y68" s="85"/>
      <c r="Z68" s="85"/>
      <c r="AA68" s="85"/>
      <c r="AB68" s="85"/>
    </row>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0EF82-2753-AD44-AFCE-40F95C89C87A}">
  <sheetPr codeName="Tabelle15">
    <tabColor theme="9" tint="0.79998168889431442"/>
  </sheetPr>
  <dimension ref="A1:AC31"/>
  <sheetViews>
    <sheetView workbookViewId="0">
      <selection activeCell="AC1" sqref="AC1"/>
    </sheetView>
  </sheetViews>
  <sheetFormatPr defaultColWidth="8.81640625" defaultRowHeight="15" customHeight="1"/>
  <cols>
    <col min="1" max="1" width="34.36328125" style="74" customWidth="1"/>
    <col min="2" max="2" width="3" style="85" customWidth="1"/>
    <col min="3" max="28" width="3.81640625" style="85" customWidth="1"/>
    <col min="29" max="29" width="74.453125" customWidth="1"/>
  </cols>
  <sheetData>
    <row r="1" spans="1:29" s="73" customFormat="1" ht="14.5">
      <c r="A1" s="122" t="s">
        <v>3225</v>
      </c>
      <c r="B1" s="123" t="s">
        <v>3125</v>
      </c>
      <c r="C1" s="121">
        <v>36</v>
      </c>
      <c r="D1" s="121">
        <v>53</v>
      </c>
      <c r="E1" s="121">
        <v>64</v>
      </c>
      <c r="F1" s="121">
        <v>74</v>
      </c>
      <c r="G1" s="121">
        <v>93</v>
      </c>
      <c r="H1" s="121">
        <v>112</v>
      </c>
      <c r="I1" s="121">
        <v>130</v>
      </c>
      <c r="J1" s="121">
        <v>140</v>
      </c>
      <c r="K1" s="121">
        <v>145</v>
      </c>
      <c r="L1" s="121">
        <v>158</v>
      </c>
      <c r="M1" s="121">
        <v>181</v>
      </c>
      <c r="N1" s="121">
        <v>213</v>
      </c>
      <c r="O1" s="121">
        <v>258</v>
      </c>
      <c r="P1" s="121">
        <v>262</v>
      </c>
      <c r="Q1" s="121">
        <v>274</v>
      </c>
      <c r="R1" s="105">
        <v>277</v>
      </c>
      <c r="S1" s="105">
        <v>297</v>
      </c>
      <c r="T1" s="105">
        <v>299</v>
      </c>
      <c r="U1" s="105">
        <v>302</v>
      </c>
      <c r="V1" s="105">
        <v>304</v>
      </c>
      <c r="W1" s="105">
        <v>307</v>
      </c>
      <c r="X1" s="105">
        <v>325</v>
      </c>
      <c r="Y1" s="105">
        <v>326</v>
      </c>
      <c r="Z1" s="105">
        <v>336</v>
      </c>
      <c r="AA1" s="105">
        <v>356</v>
      </c>
      <c r="AB1" s="105">
        <v>357</v>
      </c>
      <c r="AC1" s="73" t="s">
        <v>3129</v>
      </c>
    </row>
    <row r="2" spans="1:29" ht="14.5">
      <c r="A2" s="74" t="s">
        <v>2758</v>
      </c>
      <c r="B2" s="85">
        <f t="shared" ref="B2:B15" si="0">COUNTA(C2:AB2)</f>
        <v>14</v>
      </c>
      <c r="C2" s="85" t="s">
        <v>2484</v>
      </c>
      <c r="D2" s="85" t="s">
        <v>2484</v>
      </c>
      <c r="H2" s="85" t="s">
        <v>2484</v>
      </c>
      <c r="I2" s="85" t="s">
        <v>2484</v>
      </c>
      <c r="J2" s="85" t="s">
        <v>2484</v>
      </c>
      <c r="N2" s="85" t="s">
        <v>2484</v>
      </c>
      <c r="O2" s="85" t="s">
        <v>2484</v>
      </c>
      <c r="Q2" s="85" t="s">
        <v>2484</v>
      </c>
      <c r="S2" s="85" t="s">
        <v>2484</v>
      </c>
      <c r="V2" s="85" t="s">
        <v>2484</v>
      </c>
      <c r="X2" s="85" t="s">
        <v>2484</v>
      </c>
      <c r="Y2" s="85" t="s">
        <v>2484</v>
      </c>
      <c r="Z2" s="85" t="s">
        <v>2484</v>
      </c>
      <c r="AB2" s="85" t="s">
        <v>2484</v>
      </c>
      <c r="AC2" s="124" t="s">
        <v>3405</v>
      </c>
    </row>
    <row r="3" spans="1:29" ht="14.5">
      <c r="A3" s="74" t="s">
        <v>2733</v>
      </c>
      <c r="B3" s="85">
        <f t="shared" si="0"/>
        <v>1</v>
      </c>
      <c r="L3" s="85" t="s">
        <v>2484</v>
      </c>
    </row>
    <row r="4" spans="1:29" ht="14.5">
      <c r="A4" s="74" t="s">
        <v>3238</v>
      </c>
      <c r="B4" s="85">
        <f t="shared" si="0"/>
        <v>1</v>
      </c>
      <c r="U4" s="85" t="s">
        <v>2484</v>
      </c>
      <c r="AC4" t="s">
        <v>3239</v>
      </c>
    </row>
    <row r="5" spans="1:29" ht="14.5">
      <c r="A5" s="74" t="s">
        <v>3236</v>
      </c>
      <c r="B5" s="85">
        <f t="shared" si="0"/>
        <v>2</v>
      </c>
      <c r="T5" s="85" t="s">
        <v>2484</v>
      </c>
      <c r="AA5" s="85" t="s">
        <v>2484</v>
      </c>
      <c r="AC5" t="s">
        <v>3237</v>
      </c>
    </row>
    <row r="6" spans="1:29" ht="14.5">
      <c r="A6" s="74" t="s">
        <v>3229</v>
      </c>
      <c r="B6" s="85">
        <f t="shared" si="0"/>
        <v>1</v>
      </c>
      <c r="F6" s="85" t="s">
        <v>2484</v>
      </c>
      <c r="AC6" t="s">
        <v>3230</v>
      </c>
    </row>
    <row r="7" spans="1:29" ht="14.5">
      <c r="A7" s="74" t="s">
        <v>3231</v>
      </c>
      <c r="B7" s="85">
        <f t="shared" si="0"/>
        <v>1</v>
      </c>
      <c r="F7" s="85" t="s">
        <v>2484</v>
      </c>
      <c r="AC7" t="s">
        <v>3232</v>
      </c>
    </row>
    <row r="8" spans="1:29" ht="14.5">
      <c r="A8" s="74" t="s">
        <v>3233</v>
      </c>
      <c r="B8" s="85">
        <f t="shared" si="0"/>
        <v>1</v>
      </c>
      <c r="F8" s="85" t="s">
        <v>2484</v>
      </c>
      <c r="AC8" t="s">
        <v>3234</v>
      </c>
    </row>
    <row r="9" spans="1:29" ht="14.5">
      <c r="A9" s="74" t="s">
        <v>3235</v>
      </c>
      <c r="B9" s="85">
        <f t="shared" si="0"/>
        <v>1</v>
      </c>
      <c r="R9" s="85" t="s">
        <v>2484</v>
      </c>
    </row>
    <row r="10" spans="1:29" ht="14.5">
      <c r="A10" s="74" t="s">
        <v>3240</v>
      </c>
      <c r="B10" s="85">
        <f t="shared" si="0"/>
        <v>1</v>
      </c>
      <c r="W10" s="85" t="s">
        <v>2484</v>
      </c>
    </row>
    <row r="11" spans="1:29" ht="14.5">
      <c r="A11" s="74" t="s">
        <v>3227</v>
      </c>
      <c r="B11" s="85">
        <f t="shared" si="0"/>
        <v>1</v>
      </c>
      <c r="K11" s="85" t="s">
        <v>2484</v>
      </c>
    </row>
    <row r="12" spans="1:29" ht="14.5">
      <c r="A12" s="74" t="s">
        <v>3226</v>
      </c>
      <c r="B12" s="85">
        <f t="shared" si="0"/>
        <v>1</v>
      </c>
      <c r="K12" s="85" t="s">
        <v>2484</v>
      </c>
    </row>
    <row r="13" spans="1:29" ht="14.5">
      <c r="A13" s="74" t="s">
        <v>3097</v>
      </c>
      <c r="B13" s="85">
        <f t="shared" si="0"/>
        <v>1</v>
      </c>
      <c r="K13" s="85" t="s">
        <v>2484</v>
      </c>
    </row>
    <row r="14" spans="1:29" ht="14.5">
      <c r="A14" s="74" t="s">
        <v>3228</v>
      </c>
      <c r="B14" s="85">
        <f t="shared" si="0"/>
        <v>1</v>
      </c>
      <c r="M14" s="85" t="s">
        <v>2484</v>
      </c>
    </row>
    <row r="15" spans="1:29" ht="14.5">
      <c r="A15" s="74" t="s">
        <v>2680</v>
      </c>
      <c r="B15" s="85">
        <f t="shared" si="0"/>
        <v>2</v>
      </c>
      <c r="E15" s="85" t="s">
        <v>2484</v>
      </c>
      <c r="P15" s="85" t="s">
        <v>2484</v>
      </c>
    </row>
    <row r="16" spans="1:29" ht="16" customHeight="1"/>
    <row r="17" ht="14.5"/>
    <row r="18" ht="14.5"/>
    <row r="19" ht="14.5"/>
    <row r="20" ht="14.5"/>
    <row r="21" ht="14.5"/>
    <row r="31" ht="14.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C7B01-8784-E446-ADA6-086E76C46D8B}">
  <sheetPr>
    <tabColor theme="9" tint="0.39997558519241921"/>
  </sheetPr>
  <dimension ref="A1"/>
  <sheetViews>
    <sheetView workbookViewId="0"/>
  </sheetViews>
  <sheetFormatPr defaultColWidth="10.81640625" defaultRowHeight="14.5"/>
  <cols>
    <col min="1" max="1" width="89.36328125" bestFit="1" customWidth="1"/>
  </cols>
  <sheetData>
    <row r="1" spans="1:1">
      <c r="A1" s="150" t="s">
        <v>3515</v>
      </c>
    </row>
  </sheetData>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7B691-0FF2-2846-BFC3-B226A8EBC72E}">
  <sheetPr codeName="Tabelle13">
    <tabColor theme="9" tint="0.79998168889431442"/>
  </sheetPr>
  <dimension ref="A1:AE93"/>
  <sheetViews>
    <sheetView zoomScale="107" workbookViewId="0">
      <selection activeCell="AB2" sqref="AB2"/>
    </sheetView>
  </sheetViews>
  <sheetFormatPr defaultColWidth="8.81640625" defaultRowHeight="15" customHeight="1"/>
  <cols>
    <col min="1" max="1" width="33.1796875" style="74" bestFit="1" customWidth="1"/>
    <col min="2" max="2" width="6.6328125" style="74" customWidth="1"/>
    <col min="3" max="28" width="3.81640625" style="85" customWidth="1"/>
    <col min="29" max="29" width="85.453125" bestFit="1" customWidth="1"/>
    <col min="30" max="30" width="24.36328125" customWidth="1"/>
    <col min="31" max="31" width="37.453125" bestFit="1" customWidth="1"/>
  </cols>
  <sheetData>
    <row r="1" spans="1:31" s="52" customFormat="1" ht="14.5">
      <c r="A1" s="120" t="s">
        <v>3127</v>
      </c>
      <c r="B1" s="120" t="s">
        <v>3128</v>
      </c>
      <c r="C1" s="121">
        <v>36</v>
      </c>
      <c r="D1" s="121">
        <v>53</v>
      </c>
      <c r="E1" s="121">
        <v>64</v>
      </c>
      <c r="F1" s="121">
        <v>74</v>
      </c>
      <c r="G1" s="121">
        <v>93</v>
      </c>
      <c r="H1" s="121">
        <v>112</v>
      </c>
      <c r="I1" s="121">
        <v>130</v>
      </c>
      <c r="J1" s="121">
        <v>140</v>
      </c>
      <c r="K1" s="121">
        <v>145</v>
      </c>
      <c r="L1" s="121">
        <v>158</v>
      </c>
      <c r="M1" s="121">
        <v>181</v>
      </c>
      <c r="N1" s="121">
        <v>213</v>
      </c>
      <c r="O1" s="121">
        <v>258</v>
      </c>
      <c r="P1" s="121">
        <v>262</v>
      </c>
      <c r="Q1" s="121">
        <v>274</v>
      </c>
      <c r="R1" s="105">
        <v>277</v>
      </c>
      <c r="S1" s="105">
        <v>297</v>
      </c>
      <c r="T1" s="105">
        <v>299</v>
      </c>
      <c r="U1" s="105">
        <v>302</v>
      </c>
      <c r="V1" s="105">
        <v>304</v>
      </c>
      <c r="W1" s="105">
        <v>307</v>
      </c>
      <c r="X1" s="105">
        <v>325</v>
      </c>
      <c r="Y1" s="105">
        <v>326</v>
      </c>
      <c r="Z1" s="105">
        <v>336</v>
      </c>
      <c r="AA1" s="105">
        <v>356</v>
      </c>
      <c r="AB1" s="105">
        <v>357</v>
      </c>
      <c r="AC1" s="52" t="s">
        <v>3129</v>
      </c>
      <c r="AD1" s="52" t="s">
        <v>3108</v>
      </c>
      <c r="AE1" s="52" t="s">
        <v>14</v>
      </c>
    </row>
    <row r="2" spans="1:31" ht="14.5">
      <c r="A2" s="74" t="s">
        <v>3132</v>
      </c>
      <c r="B2" s="74">
        <f t="shared" ref="B2:B25" si="0">COUNTA(C2:AB2)</f>
        <v>3</v>
      </c>
      <c r="I2" s="85" t="s">
        <v>2484</v>
      </c>
      <c r="K2" s="85" t="s">
        <v>2484</v>
      </c>
      <c r="M2" s="85" t="s">
        <v>2484</v>
      </c>
      <c r="AC2" t="s">
        <v>3133</v>
      </c>
      <c r="AD2" t="s">
        <v>3134</v>
      </c>
      <c r="AE2" s="97" t="s">
        <v>3135</v>
      </c>
    </row>
    <row r="3" spans="1:31" ht="14.5">
      <c r="A3" s="74" t="s">
        <v>3412</v>
      </c>
      <c r="B3" s="74">
        <f t="shared" si="0"/>
        <v>1</v>
      </c>
      <c r="S3" s="85" t="s">
        <v>2484</v>
      </c>
    </row>
    <row r="4" spans="1:31" ht="14.5">
      <c r="A4" s="74" t="s">
        <v>3411</v>
      </c>
      <c r="B4" s="74">
        <f t="shared" si="0"/>
        <v>1</v>
      </c>
      <c r="Y4" s="85" t="s">
        <v>2484</v>
      </c>
      <c r="AC4" s="124" t="s">
        <v>3410</v>
      </c>
    </row>
    <row r="5" spans="1:31" ht="14.5">
      <c r="A5" s="74" t="s">
        <v>3141</v>
      </c>
      <c r="B5" s="74">
        <f t="shared" si="0"/>
        <v>1</v>
      </c>
      <c r="M5" s="85" t="s">
        <v>2484</v>
      </c>
      <c r="AC5" t="s">
        <v>3142</v>
      </c>
    </row>
    <row r="6" spans="1:31" ht="14.5">
      <c r="A6" s="74" t="s">
        <v>3130</v>
      </c>
      <c r="B6" s="74">
        <f t="shared" si="0"/>
        <v>1</v>
      </c>
      <c r="O6" s="85" t="s">
        <v>2484</v>
      </c>
      <c r="AC6" s="124"/>
    </row>
    <row r="7" spans="1:31" ht="14.5">
      <c r="A7" s="74" t="s">
        <v>3147</v>
      </c>
      <c r="B7" s="74">
        <f t="shared" si="0"/>
        <v>1</v>
      </c>
      <c r="C7" s="85" t="s">
        <v>2484</v>
      </c>
      <c r="AE7" t="s">
        <v>3148</v>
      </c>
    </row>
    <row r="8" spans="1:31" ht="14.5">
      <c r="A8" s="74" t="s">
        <v>3149</v>
      </c>
      <c r="B8" s="74">
        <f t="shared" si="0"/>
        <v>1</v>
      </c>
      <c r="C8" s="85" t="s">
        <v>2484</v>
      </c>
      <c r="AE8" t="s">
        <v>3148</v>
      </c>
    </row>
    <row r="9" spans="1:31" ht="14.5">
      <c r="A9" s="74" t="s">
        <v>3150</v>
      </c>
      <c r="B9" s="74">
        <f t="shared" si="0"/>
        <v>1</v>
      </c>
      <c r="D9" s="85" t="s">
        <v>2484</v>
      </c>
      <c r="AD9" t="s">
        <v>3151</v>
      </c>
    </row>
    <row r="10" spans="1:31" ht="14.5">
      <c r="A10" s="74" t="s">
        <v>3413</v>
      </c>
      <c r="B10" s="74">
        <f t="shared" si="0"/>
        <v>1</v>
      </c>
      <c r="AB10" s="85" t="s">
        <v>2484</v>
      </c>
      <c r="AC10" t="s">
        <v>2900</v>
      </c>
    </row>
    <row r="11" spans="1:31" ht="14.5">
      <c r="A11" s="74" t="s">
        <v>3152</v>
      </c>
      <c r="B11" s="74">
        <f t="shared" si="0"/>
        <v>1</v>
      </c>
      <c r="E11" s="85" t="s">
        <v>2484</v>
      </c>
    </row>
    <row r="12" spans="1:31" ht="14.5">
      <c r="A12" s="74" t="s">
        <v>3414</v>
      </c>
      <c r="B12" s="74">
        <f t="shared" si="0"/>
        <v>1</v>
      </c>
      <c r="F12" s="85" t="s">
        <v>2484</v>
      </c>
    </row>
    <row r="13" spans="1:31" ht="14.5">
      <c r="A13" s="95" t="s">
        <v>3153</v>
      </c>
      <c r="B13" s="74">
        <f t="shared" si="0"/>
        <v>1</v>
      </c>
      <c r="G13" s="85" t="s">
        <v>2484</v>
      </c>
    </row>
    <row r="14" spans="1:31" ht="14.5">
      <c r="A14" s="95" t="s">
        <v>3154</v>
      </c>
      <c r="B14" s="74">
        <f t="shared" si="0"/>
        <v>1</v>
      </c>
      <c r="G14" s="85" t="s">
        <v>2484</v>
      </c>
    </row>
    <row r="15" spans="1:31" ht="14.5">
      <c r="A15" s="95" t="s">
        <v>3155</v>
      </c>
      <c r="B15" s="74">
        <f t="shared" si="0"/>
        <v>1</v>
      </c>
      <c r="G15" s="85" t="s">
        <v>2484</v>
      </c>
    </row>
    <row r="16" spans="1:31" ht="14.5">
      <c r="A16" s="95" t="s">
        <v>3156</v>
      </c>
      <c r="B16" s="74">
        <f t="shared" si="0"/>
        <v>1</v>
      </c>
      <c r="G16" s="85" t="s">
        <v>2484</v>
      </c>
    </row>
    <row r="17" spans="1:31" ht="14.5">
      <c r="A17" s="74" t="s">
        <v>3160</v>
      </c>
      <c r="B17" s="74">
        <f t="shared" si="0"/>
        <v>2</v>
      </c>
      <c r="H17" s="85" t="s">
        <v>2484</v>
      </c>
      <c r="V17" s="85" t="s">
        <v>3131</v>
      </c>
      <c r="AC17" t="s">
        <v>3415</v>
      </c>
      <c r="AD17" t="s">
        <v>3161</v>
      </c>
      <c r="AE17" s="97" t="s">
        <v>3162</v>
      </c>
    </row>
    <row r="18" spans="1:31" ht="14.5">
      <c r="A18" s="74" t="s">
        <v>3157</v>
      </c>
      <c r="B18" s="74">
        <f t="shared" si="0"/>
        <v>1</v>
      </c>
      <c r="H18" s="85" t="s">
        <v>2484</v>
      </c>
      <c r="AD18" t="s">
        <v>3158</v>
      </c>
      <c r="AE18" s="97" t="s">
        <v>3159</v>
      </c>
    </row>
    <row r="19" spans="1:31" ht="14.5">
      <c r="A19" s="74" t="s">
        <v>3416</v>
      </c>
      <c r="B19" s="74">
        <f t="shared" si="0"/>
        <v>1</v>
      </c>
      <c r="I19" s="85" t="s">
        <v>2484</v>
      </c>
      <c r="AC19" t="s">
        <v>3163</v>
      </c>
    </row>
    <row r="20" spans="1:31" ht="14.5">
      <c r="A20" s="74" t="s">
        <v>3164</v>
      </c>
      <c r="B20" s="74">
        <f t="shared" si="0"/>
        <v>2</v>
      </c>
      <c r="J20" s="85" t="s">
        <v>2484</v>
      </c>
      <c r="X20" s="85" t="s">
        <v>2484</v>
      </c>
      <c r="AC20" t="s">
        <v>3165</v>
      </c>
    </row>
    <row r="21" spans="1:31" ht="14.5">
      <c r="A21" s="74" t="s">
        <v>3166</v>
      </c>
      <c r="B21" s="74">
        <f t="shared" si="0"/>
        <v>2</v>
      </c>
      <c r="J21" s="85" t="s">
        <v>2484</v>
      </c>
      <c r="X21" s="85" t="s">
        <v>2484</v>
      </c>
      <c r="AC21" t="s">
        <v>3167</v>
      </c>
      <c r="AD21" t="s">
        <v>3168</v>
      </c>
    </row>
    <row r="22" spans="1:31" ht="14.5">
      <c r="A22" s="74" t="s">
        <v>3169</v>
      </c>
      <c r="B22" s="74">
        <f t="shared" si="0"/>
        <v>1</v>
      </c>
      <c r="J22" s="85" t="s">
        <v>2484</v>
      </c>
      <c r="AC22" t="s">
        <v>3170</v>
      </c>
      <c r="AD22" t="s">
        <v>3168</v>
      </c>
    </row>
    <row r="23" spans="1:31" ht="14.5">
      <c r="A23" s="74" t="s">
        <v>3136</v>
      </c>
      <c r="B23" s="74">
        <f t="shared" si="0"/>
        <v>1</v>
      </c>
      <c r="K23" s="85" t="s">
        <v>2484</v>
      </c>
      <c r="AC23" t="s">
        <v>3137</v>
      </c>
      <c r="AD23" t="s">
        <v>3138</v>
      </c>
      <c r="AE23" s="97" t="s">
        <v>3139</v>
      </c>
    </row>
    <row r="24" spans="1:31" ht="14.5">
      <c r="A24" s="74" t="s">
        <v>3140</v>
      </c>
      <c r="B24" s="74">
        <f t="shared" si="0"/>
        <v>1</v>
      </c>
      <c r="L24" s="85" t="s">
        <v>2484</v>
      </c>
      <c r="AC24" t="s">
        <v>2734</v>
      </c>
    </row>
    <row r="25" spans="1:31" ht="15" customHeight="1">
      <c r="A25" s="74" t="s">
        <v>3172</v>
      </c>
      <c r="B25" s="74">
        <f t="shared" si="0"/>
        <v>1</v>
      </c>
      <c r="U25" s="85" t="s">
        <v>2484</v>
      </c>
    </row>
    <row r="26" spans="1:31" ht="15" customHeight="1">
      <c r="A26" s="74" t="s">
        <v>3417</v>
      </c>
      <c r="B26" s="74">
        <f t="shared" ref="B26:B36" si="1">COUNTA(C26:AB26)</f>
        <v>1</v>
      </c>
      <c r="Z26" s="85" t="s">
        <v>2484</v>
      </c>
    </row>
    <row r="27" spans="1:31" ht="15" customHeight="1">
      <c r="A27" s="74" t="s">
        <v>3418</v>
      </c>
      <c r="B27" s="74">
        <f t="shared" si="1"/>
        <v>1</v>
      </c>
      <c r="AA27" s="85" t="s">
        <v>2484</v>
      </c>
    </row>
    <row r="28" spans="1:31" ht="15" customHeight="1">
      <c r="A28" s="74" t="s">
        <v>3419</v>
      </c>
      <c r="B28" s="74">
        <f t="shared" si="1"/>
        <v>1</v>
      </c>
      <c r="AA28" s="85" t="s">
        <v>2484</v>
      </c>
    </row>
    <row r="29" spans="1:31" ht="15" customHeight="1">
      <c r="A29" s="74" t="s">
        <v>3420</v>
      </c>
      <c r="B29" s="74">
        <f t="shared" si="1"/>
        <v>1</v>
      </c>
      <c r="AA29" s="85" t="s">
        <v>2484</v>
      </c>
    </row>
    <row r="30" spans="1:31" ht="14.5">
      <c r="A30" s="74" t="s">
        <v>3143</v>
      </c>
      <c r="B30" s="74">
        <f t="shared" si="1"/>
        <v>1</v>
      </c>
      <c r="N30" s="85" t="s">
        <v>2484</v>
      </c>
      <c r="AC30" t="s">
        <v>3144</v>
      </c>
      <c r="AD30" t="s">
        <v>3145</v>
      </c>
    </row>
    <row r="31" spans="1:31" ht="15" customHeight="1">
      <c r="A31" s="74" t="s">
        <v>3171</v>
      </c>
      <c r="B31" s="74">
        <f t="shared" si="1"/>
        <v>1</v>
      </c>
      <c r="R31" s="85" t="s">
        <v>2484</v>
      </c>
    </row>
    <row r="32" spans="1:31" ht="15" customHeight="1">
      <c r="A32" s="74" t="s">
        <v>3421</v>
      </c>
      <c r="B32" s="74">
        <f t="shared" si="1"/>
        <v>1</v>
      </c>
      <c r="W32" s="85" t="s">
        <v>2484</v>
      </c>
    </row>
    <row r="33" spans="1:29" ht="15" customHeight="1">
      <c r="A33" s="74" t="s">
        <v>3422</v>
      </c>
      <c r="B33" s="74">
        <f t="shared" si="1"/>
        <v>1</v>
      </c>
      <c r="Q33" s="85" t="s">
        <v>2484</v>
      </c>
      <c r="AC33" t="s">
        <v>2782</v>
      </c>
    </row>
    <row r="34" spans="1:29" ht="15" customHeight="1">
      <c r="A34" s="74" t="s">
        <v>3423</v>
      </c>
      <c r="B34" s="74">
        <f t="shared" si="1"/>
        <v>1</v>
      </c>
      <c r="T34" s="85" t="s">
        <v>2484</v>
      </c>
    </row>
    <row r="36" spans="1:29" ht="14.5">
      <c r="A36" s="74" t="s">
        <v>2680</v>
      </c>
      <c r="B36" s="74">
        <f t="shared" si="1"/>
        <v>1</v>
      </c>
      <c r="P36" s="85" t="s">
        <v>2484</v>
      </c>
    </row>
    <row r="37" spans="1:29" ht="14.5"/>
    <row r="38" spans="1:29" ht="14.5"/>
    <row r="54" spans="1:29" ht="14.5">
      <c r="A54" s="74" t="s">
        <v>3171</v>
      </c>
      <c r="B54" s="74">
        <f>COUNTA(C54:AB54)</f>
        <v>0</v>
      </c>
    </row>
    <row r="55" spans="1:29" ht="14.5">
      <c r="A55" s="74" t="s">
        <v>3172</v>
      </c>
      <c r="B55" s="74">
        <f>COUNTA(C55:AB55)</f>
        <v>1</v>
      </c>
      <c r="U55" s="85" t="s">
        <v>2484</v>
      </c>
    </row>
    <row r="56" spans="1:29" ht="14.5">
      <c r="A56" s="74" t="s">
        <v>3173</v>
      </c>
      <c r="B56" s="74">
        <f>COUNTA(C56:AB56)</f>
        <v>1</v>
      </c>
      <c r="T56" s="85" t="s">
        <v>2484</v>
      </c>
      <c r="AC56" t="s">
        <v>3146</v>
      </c>
    </row>
    <row r="57" spans="1:29" ht="14.5">
      <c r="A57" s="74" t="s">
        <v>3174</v>
      </c>
      <c r="B57" s="74">
        <f>COUNTA(C57:AB57)</f>
        <v>1</v>
      </c>
      <c r="V57" s="85" t="s">
        <v>2484</v>
      </c>
      <c r="AC57" t="s">
        <v>2829</v>
      </c>
    </row>
    <row r="58" spans="1:29" ht="14.5">
      <c r="A58" s="74" t="s">
        <v>3175</v>
      </c>
      <c r="B58" s="74">
        <f>COUNTA(C58:AB58)</f>
        <v>1</v>
      </c>
      <c r="W58" s="85" t="s">
        <v>2484</v>
      </c>
      <c r="AC58" t="s">
        <v>2836</v>
      </c>
    </row>
    <row r="60" spans="1:29" ht="14.5">
      <c r="A60" s="74" t="s">
        <v>3176</v>
      </c>
      <c r="B60" s="74">
        <f>COUNTA(C60:AB60)</f>
        <v>1</v>
      </c>
      <c r="Z60" s="85" t="s">
        <v>2484</v>
      </c>
      <c r="AC60" t="s">
        <v>2860</v>
      </c>
    </row>
    <row r="61" spans="1:29" ht="14.5">
      <c r="A61" s="74" t="s">
        <v>3177</v>
      </c>
      <c r="B61" s="74">
        <f>COUNTA(C61:AB61)</f>
        <v>1</v>
      </c>
      <c r="AA61" s="85" t="s">
        <v>2484</v>
      </c>
      <c r="AC61" s="124" t="s">
        <v>2889</v>
      </c>
    </row>
    <row r="63" spans="1:29" ht="14.5"/>
    <row r="64" spans="1:29" ht="14.5"/>
    <row r="65" ht="14.5"/>
    <row r="66" ht="14.5"/>
    <row r="67" ht="14.5"/>
    <row r="68" ht="14.5"/>
    <row r="69" ht="14.5"/>
    <row r="70" ht="14.5"/>
    <row r="71" ht="14.5"/>
    <row r="72" ht="14.5"/>
    <row r="73" ht="14.5"/>
    <row r="74" ht="14.5"/>
    <row r="75" ht="14.5"/>
    <row r="76" ht="14.5"/>
    <row r="77" ht="14.5"/>
    <row r="78" ht="14.5"/>
    <row r="79" ht="14.5"/>
    <row r="80" ht="14.5"/>
    <row r="81" ht="14.5"/>
    <row r="82" ht="14.5"/>
    <row r="83" ht="14.5"/>
    <row r="84" ht="14.5"/>
    <row r="85" ht="14.5"/>
    <row r="86" ht="14.5"/>
    <row r="87" ht="14.5"/>
    <row r="88" ht="14.5"/>
    <row r="89" ht="14.5"/>
    <row r="90" ht="14.5"/>
    <row r="91" ht="14.5"/>
    <row r="92" ht="14.5"/>
    <row r="93" ht="14.5"/>
  </sheetData>
  <hyperlinks>
    <hyperlink ref="AE2" r:id="rId1" xr:uid="{789585A0-098E-3744-9192-420DEFAAEFC1}"/>
    <hyperlink ref="AE23" r:id="rId2" xr:uid="{6C3C1A83-917C-B542-9D9D-F5E1445AE2BF}"/>
    <hyperlink ref="AE18" r:id="rId3" xr:uid="{69D67115-ABBA-4A4D-AEE5-DF404E7A821E}"/>
    <hyperlink ref="AE17" r:id="rId4" xr:uid="{40512471-9910-5F49-81E6-532EA5420A82}"/>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2E49F-C0AB-F64D-B619-7D0E3BF4DC14}">
  <sheetPr codeName="Tabelle14">
    <tabColor theme="9" tint="0.79998168889431442"/>
  </sheetPr>
  <dimension ref="A1:R37"/>
  <sheetViews>
    <sheetView workbookViewId="0">
      <selection activeCell="O31" sqref="O31"/>
    </sheetView>
  </sheetViews>
  <sheetFormatPr defaultColWidth="8.6328125" defaultRowHeight="14.5"/>
  <cols>
    <col min="1" max="1" width="17.453125" style="95" customWidth="1"/>
    <col min="2" max="2" width="48" style="95" customWidth="1"/>
    <col min="3" max="3" width="11.453125" style="95" bestFit="1" customWidth="1"/>
    <col min="4" max="4" width="11" style="95" bestFit="1" customWidth="1"/>
    <col min="5" max="5" width="10.1796875" style="95" bestFit="1" customWidth="1"/>
    <col min="6" max="6" width="10.1796875" style="95" customWidth="1"/>
    <col min="7" max="7" width="8.453125" style="95" bestFit="1" customWidth="1"/>
    <col min="8" max="8" width="22.1796875" style="95" bestFit="1" customWidth="1"/>
    <col min="9" max="9" width="14.36328125" style="95" customWidth="1"/>
    <col min="10" max="10" width="12.453125" style="95" customWidth="1"/>
    <col min="11" max="11" width="9.453125" style="95" bestFit="1" customWidth="1"/>
    <col min="12" max="12" width="5.6328125" style="95" bestFit="1" customWidth="1"/>
    <col min="13" max="13" width="15.453125" style="95" bestFit="1" customWidth="1"/>
    <col min="14" max="15" width="15.453125" style="95" customWidth="1"/>
    <col min="16" max="16" width="20.453125" style="95" customWidth="1"/>
    <col min="17" max="17" width="19.1796875" style="95" customWidth="1"/>
    <col min="18" max="18" width="57.36328125" style="95" customWidth="1"/>
    <col min="19" max="16384" width="8.6328125" style="95"/>
  </cols>
  <sheetData>
    <row r="1" spans="1:18" s="94" customFormat="1">
      <c r="A1" s="98" t="s">
        <v>3107</v>
      </c>
      <c r="B1" s="98" t="s">
        <v>3107</v>
      </c>
      <c r="C1" s="98" t="s">
        <v>3178</v>
      </c>
      <c r="D1" s="98" t="s">
        <v>3179</v>
      </c>
      <c r="E1" s="98" t="s">
        <v>3180</v>
      </c>
      <c r="F1" s="98" t="s">
        <v>3181</v>
      </c>
      <c r="G1" s="98" t="s">
        <v>3182</v>
      </c>
      <c r="H1" s="98" t="s">
        <v>3183</v>
      </c>
      <c r="I1" s="98" t="s">
        <v>3184</v>
      </c>
      <c r="J1" s="98" t="s">
        <v>3185</v>
      </c>
      <c r="K1" s="98" t="s">
        <v>3186</v>
      </c>
      <c r="L1" s="98" t="s">
        <v>3187</v>
      </c>
      <c r="M1" s="98" t="s">
        <v>3188</v>
      </c>
      <c r="N1" s="98" t="s">
        <v>3189</v>
      </c>
      <c r="O1" s="98" t="s">
        <v>3190</v>
      </c>
      <c r="P1" s="98" t="s">
        <v>3191</v>
      </c>
      <c r="Q1" s="98" t="s">
        <v>3108</v>
      </c>
      <c r="R1" s="98" t="s">
        <v>3109</v>
      </c>
    </row>
    <row r="2" spans="1:18">
      <c r="A2" s="126" t="s">
        <v>3132</v>
      </c>
      <c r="B2" s="127" t="s">
        <v>3192</v>
      </c>
      <c r="C2" s="127" t="s">
        <v>3424</v>
      </c>
      <c r="D2" s="127" t="s">
        <v>3202</v>
      </c>
      <c r="E2" s="127" t="s">
        <v>2654</v>
      </c>
      <c r="F2" s="127" t="s">
        <v>3193</v>
      </c>
      <c r="G2" s="127"/>
      <c r="H2" s="127"/>
      <c r="I2" s="127">
        <v>1000</v>
      </c>
      <c r="J2" s="127"/>
      <c r="K2" s="127">
        <v>34268</v>
      </c>
      <c r="L2" s="127"/>
      <c r="M2" s="127"/>
      <c r="N2" s="127" t="s">
        <v>2568</v>
      </c>
      <c r="O2" s="127" t="s">
        <v>3194</v>
      </c>
      <c r="P2" s="127" t="s">
        <v>3195</v>
      </c>
      <c r="Q2" s="127" t="s">
        <v>3196</v>
      </c>
      <c r="R2" s="127" t="s">
        <v>3197</v>
      </c>
    </row>
    <row r="3" spans="1:18" s="125" customFormat="1">
      <c r="A3" s="130" t="s">
        <v>3427</v>
      </c>
      <c r="C3" s="125">
        <v>357</v>
      </c>
      <c r="D3" s="125" t="s">
        <v>3202</v>
      </c>
      <c r="E3" s="125" t="s">
        <v>2654</v>
      </c>
      <c r="F3" s="125" t="s">
        <v>3193</v>
      </c>
      <c r="I3" s="125">
        <v>3100</v>
      </c>
      <c r="N3" s="125" t="s">
        <v>2568</v>
      </c>
      <c r="O3" s="125" t="s">
        <v>3194</v>
      </c>
    </row>
    <row r="4" spans="1:18">
      <c r="A4" s="128" t="s">
        <v>3418</v>
      </c>
      <c r="B4" s="129"/>
      <c r="C4" s="129">
        <v>356</v>
      </c>
      <c r="D4" s="95" t="s">
        <v>3199</v>
      </c>
      <c r="E4" s="95" t="s">
        <v>3200</v>
      </c>
      <c r="F4" s="95" t="s">
        <v>3425</v>
      </c>
      <c r="G4" s="129"/>
      <c r="H4" s="129"/>
      <c r="I4" s="129"/>
      <c r="J4" s="129"/>
      <c r="K4" s="129"/>
      <c r="L4" s="129"/>
      <c r="M4" s="129"/>
      <c r="N4" s="95" t="s">
        <v>2568</v>
      </c>
      <c r="O4" s="95" t="s">
        <v>3194</v>
      </c>
      <c r="P4" s="129"/>
      <c r="Q4" s="129"/>
      <c r="R4" s="129"/>
    </row>
    <row r="5" spans="1:18">
      <c r="A5" s="125" t="s">
        <v>3419</v>
      </c>
      <c r="B5" s="125"/>
      <c r="C5" s="125">
        <v>356</v>
      </c>
      <c r="D5" s="125" t="s">
        <v>3202</v>
      </c>
      <c r="E5" s="125" t="s">
        <v>2654</v>
      </c>
      <c r="F5" s="125" t="s">
        <v>3425</v>
      </c>
      <c r="G5" s="125"/>
      <c r="H5" s="125"/>
      <c r="I5" s="125"/>
      <c r="J5" s="125"/>
      <c r="K5" s="125"/>
      <c r="L5" s="125"/>
      <c r="M5" s="125"/>
      <c r="N5" s="125" t="s">
        <v>2568</v>
      </c>
      <c r="O5" s="125" t="s">
        <v>3194</v>
      </c>
      <c r="P5" s="125"/>
      <c r="Q5" s="125"/>
      <c r="R5" s="125"/>
    </row>
    <row r="6" spans="1:18">
      <c r="A6" s="95" t="s">
        <v>3420</v>
      </c>
      <c r="C6" s="95">
        <v>356</v>
      </c>
      <c r="D6" s="95" t="s">
        <v>3199</v>
      </c>
      <c r="E6" s="95" t="s">
        <v>2654</v>
      </c>
      <c r="F6" s="95" t="s">
        <v>3193</v>
      </c>
      <c r="N6" s="95" t="s">
        <v>2568</v>
      </c>
      <c r="O6" s="95" t="s">
        <v>3194</v>
      </c>
    </row>
    <row r="7" spans="1:18">
      <c r="A7" s="126" t="s">
        <v>3417</v>
      </c>
      <c r="B7" s="127"/>
      <c r="C7" s="127">
        <v>336</v>
      </c>
      <c r="D7" s="127" t="s">
        <v>3199</v>
      </c>
      <c r="E7" s="127" t="s">
        <v>3200</v>
      </c>
      <c r="F7" s="127" t="s">
        <v>3193</v>
      </c>
      <c r="G7" s="127"/>
      <c r="H7" s="127">
        <v>1</v>
      </c>
      <c r="I7" s="127"/>
      <c r="J7" s="127"/>
      <c r="K7" s="127"/>
      <c r="L7" s="127"/>
      <c r="M7" s="127"/>
      <c r="N7" s="127" t="s">
        <v>2568</v>
      </c>
      <c r="O7" s="127" t="s">
        <v>3194</v>
      </c>
      <c r="P7" s="127"/>
      <c r="Q7" s="127"/>
      <c r="R7" s="127"/>
    </row>
    <row r="8" spans="1:18" s="125" customFormat="1">
      <c r="A8" s="131" t="s">
        <v>3409</v>
      </c>
      <c r="C8" s="125">
        <v>326</v>
      </c>
      <c r="D8" s="125" t="s">
        <v>3199</v>
      </c>
      <c r="E8" s="125" t="s">
        <v>3200</v>
      </c>
      <c r="F8" s="125" t="s">
        <v>3425</v>
      </c>
      <c r="I8" s="125">
        <v>63</v>
      </c>
      <c r="N8" s="125" t="s">
        <v>2568</v>
      </c>
      <c r="O8" s="125" t="s">
        <v>3194</v>
      </c>
    </row>
    <row r="9" spans="1:18" s="129" customFormat="1">
      <c r="A9" s="133" t="s">
        <v>3426</v>
      </c>
      <c r="C9" s="129">
        <v>326</v>
      </c>
      <c r="D9" s="129" t="s">
        <v>3199</v>
      </c>
      <c r="E9" s="129" t="s">
        <v>3200</v>
      </c>
      <c r="F9" s="129" t="s">
        <v>3425</v>
      </c>
      <c r="I9" s="129">
        <v>10</v>
      </c>
      <c r="N9" s="129" t="s">
        <v>2568</v>
      </c>
      <c r="O9" s="129" t="s">
        <v>3194</v>
      </c>
    </row>
    <row r="10" spans="1:18">
      <c r="A10" t="s">
        <v>3421</v>
      </c>
      <c r="C10" s="95">
        <v>307</v>
      </c>
      <c r="D10" s="95" t="s">
        <v>3199</v>
      </c>
      <c r="E10" s="95" t="s">
        <v>2654</v>
      </c>
      <c r="F10" s="95" t="s">
        <v>3425</v>
      </c>
      <c r="H10" s="95">
        <v>3</v>
      </c>
      <c r="N10" s="95" t="s">
        <v>2568</v>
      </c>
      <c r="O10" s="95" t="s">
        <v>3194</v>
      </c>
    </row>
    <row r="11" spans="1:18" s="125" customFormat="1">
      <c r="A11" s="130" t="s">
        <v>3429</v>
      </c>
      <c r="C11" s="125">
        <v>304</v>
      </c>
      <c r="D11" s="125" t="s">
        <v>3202</v>
      </c>
      <c r="E11" s="125" t="s">
        <v>3200</v>
      </c>
      <c r="F11" s="125" t="s">
        <v>3193</v>
      </c>
      <c r="I11" s="125">
        <v>1071</v>
      </c>
      <c r="N11" s="125" t="s">
        <v>2648</v>
      </c>
      <c r="O11" s="125" t="s">
        <v>2768</v>
      </c>
    </row>
    <row r="12" spans="1:18" s="125" customFormat="1">
      <c r="A12" s="131" t="s">
        <v>3172</v>
      </c>
      <c r="C12" s="125">
        <v>302</v>
      </c>
      <c r="D12" s="125" t="s">
        <v>3199</v>
      </c>
      <c r="E12" s="125" t="s">
        <v>2654</v>
      </c>
      <c r="F12" s="125" t="s">
        <v>3193</v>
      </c>
      <c r="J12" s="125">
        <v>186</v>
      </c>
      <c r="N12" s="125" t="s">
        <v>2568</v>
      </c>
      <c r="O12" s="125" t="s">
        <v>3194</v>
      </c>
    </row>
    <row r="13" spans="1:18">
      <c r="A13" s="95" t="s">
        <v>3412</v>
      </c>
      <c r="C13" s="95">
        <v>297</v>
      </c>
      <c r="D13" s="95" t="s">
        <v>3202</v>
      </c>
      <c r="E13" s="95" t="s">
        <v>3200</v>
      </c>
      <c r="F13" s="95" t="s">
        <v>3193</v>
      </c>
      <c r="I13" s="95">
        <v>1553</v>
      </c>
      <c r="N13" s="95" t="s">
        <v>2568</v>
      </c>
      <c r="O13" s="127" t="s">
        <v>3194</v>
      </c>
      <c r="R13" s="137" t="s">
        <v>2802</v>
      </c>
    </row>
    <row r="14" spans="1:18" s="127" customFormat="1">
      <c r="A14" s="136" t="s">
        <v>3171</v>
      </c>
      <c r="C14" s="127">
        <v>277</v>
      </c>
      <c r="D14" s="127" t="s">
        <v>3202</v>
      </c>
      <c r="E14" s="127" t="s">
        <v>3200</v>
      </c>
      <c r="F14" s="127" t="s">
        <v>3425</v>
      </c>
      <c r="N14" s="127" t="s">
        <v>2648</v>
      </c>
      <c r="O14" s="127" t="s">
        <v>2768</v>
      </c>
    </row>
    <row r="15" spans="1:18" s="125" customFormat="1">
      <c r="A15" s="130" t="s">
        <v>3422</v>
      </c>
      <c r="C15" s="125">
        <v>274</v>
      </c>
      <c r="D15" s="125" t="s">
        <v>3199</v>
      </c>
      <c r="E15" s="125" t="s">
        <v>3200</v>
      </c>
      <c r="F15" s="125" t="s">
        <v>3193</v>
      </c>
      <c r="I15" s="125">
        <v>215</v>
      </c>
      <c r="N15" s="125" t="s">
        <v>2648</v>
      </c>
      <c r="O15" s="127" t="s">
        <v>2768</v>
      </c>
    </row>
    <row r="16" spans="1:18" s="125" customFormat="1">
      <c r="A16" s="130" t="s">
        <v>3130</v>
      </c>
      <c r="C16" s="125">
        <v>258</v>
      </c>
      <c r="D16" s="125" t="s">
        <v>3202</v>
      </c>
      <c r="E16" s="125" t="s">
        <v>2654</v>
      </c>
      <c r="F16" s="125" t="s">
        <v>3193</v>
      </c>
      <c r="J16" s="125">
        <v>9060</v>
      </c>
      <c r="N16" s="125" t="s">
        <v>2568</v>
      </c>
      <c r="O16" s="125" t="s">
        <v>3194</v>
      </c>
    </row>
    <row r="17" spans="1:18" s="129" customFormat="1">
      <c r="A17" s="133" t="s">
        <v>3204</v>
      </c>
      <c r="C17" s="129">
        <v>213</v>
      </c>
      <c r="D17" s="129" t="s">
        <v>3199</v>
      </c>
      <c r="E17" s="129" t="s">
        <v>2654</v>
      </c>
      <c r="F17" s="129" t="s">
        <v>3425</v>
      </c>
      <c r="G17" s="129">
        <v>8</v>
      </c>
      <c r="J17" s="129">
        <v>3468</v>
      </c>
      <c r="N17" s="129" t="s">
        <v>2568</v>
      </c>
      <c r="O17" s="129" t="s">
        <v>3194</v>
      </c>
      <c r="R17" s="129" t="s">
        <v>3205</v>
      </c>
    </row>
    <row r="18" spans="1:18">
      <c r="A18" t="s">
        <v>3423</v>
      </c>
      <c r="C18" s="95">
        <v>299</v>
      </c>
      <c r="D18" s="95" t="s">
        <v>3202</v>
      </c>
      <c r="E18" s="95" t="s">
        <v>3200</v>
      </c>
      <c r="F18" s="95" t="s">
        <v>3193</v>
      </c>
      <c r="J18" s="95">
        <v>6</v>
      </c>
      <c r="N18" s="95" t="s">
        <v>2568</v>
      </c>
      <c r="O18" s="95" t="s">
        <v>3194</v>
      </c>
    </row>
    <row r="19" spans="1:18" s="125" customFormat="1">
      <c r="A19" s="130" t="s">
        <v>3141</v>
      </c>
      <c r="C19" s="125">
        <v>181</v>
      </c>
      <c r="D19" s="125" t="s">
        <v>3202</v>
      </c>
      <c r="E19" s="125" t="s">
        <v>2654</v>
      </c>
      <c r="F19" s="125" t="s">
        <v>3425</v>
      </c>
      <c r="N19" s="125" t="s">
        <v>2648</v>
      </c>
      <c r="O19" s="125" t="s">
        <v>2768</v>
      </c>
    </row>
    <row r="20" spans="1:18" s="125" customFormat="1">
      <c r="A20" s="130" t="s">
        <v>3140</v>
      </c>
      <c r="B20" s="125" t="s">
        <v>3201</v>
      </c>
      <c r="C20" s="125">
        <v>158</v>
      </c>
      <c r="D20" s="125" t="s">
        <v>3202</v>
      </c>
      <c r="E20" s="125" t="s">
        <v>2654</v>
      </c>
      <c r="F20" s="125" t="s">
        <v>3425</v>
      </c>
      <c r="L20" s="125">
        <v>7</v>
      </c>
      <c r="N20" s="125" t="s">
        <v>2568</v>
      </c>
      <c r="O20" s="125" t="s">
        <v>3194</v>
      </c>
      <c r="P20" s="125" t="s">
        <v>3195</v>
      </c>
      <c r="R20" s="125" t="s">
        <v>3203</v>
      </c>
    </row>
    <row r="21" spans="1:18">
      <c r="A21" t="s">
        <v>3136</v>
      </c>
      <c r="B21" s="95" t="s">
        <v>3198</v>
      </c>
      <c r="C21" s="95">
        <v>145</v>
      </c>
      <c r="D21" s="95" t="s">
        <v>3199</v>
      </c>
      <c r="E21" s="95" t="s">
        <v>2654</v>
      </c>
      <c r="F21" s="95" t="s">
        <v>3425</v>
      </c>
      <c r="N21" s="95" t="s">
        <v>2648</v>
      </c>
      <c r="O21" s="95" t="s">
        <v>2768</v>
      </c>
    </row>
    <row r="22" spans="1:18" s="125" customFormat="1">
      <c r="A22" s="130" t="s">
        <v>3164</v>
      </c>
      <c r="C22" s="125" t="s">
        <v>3444</v>
      </c>
      <c r="D22" s="125" t="s">
        <v>3202</v>
      </c>
      <c r="E22" s="125" t="s">
        <v>2654</v>
      </c>
      <c r="F22" s="125" t="s">
        <v>3425</v>
      </c>
      <c r="I22" s="125">
        <v>98</v>
      </c>
      <c r="N22" s="125" t="s">
        <v>2568</v>
      </c>
      <c r="O22" s="127" t="s">
        <v>3194</v>
      </c>
      <c r="Q22" s="132"/>
      <c r="R22" s="125" t="s">
        <v>3165</v>
      </c>
    </row>
    <row r="23" spans="1:18">
      <c r="A23" t="s">
        <v>3166</v>
      </c>
      <c r="C23" s="95" t="s">
        <v>3444</v>
      </c>
      <c r="D23" s="95" t="s">
        <v>3202</v>
      </c>
      <c r="E23" s="95" t="s">
        <v>2654</v>
      </c>
      <c r="F23" s="95" t="s">
        <v>3425</v>
      </c>
      <c r="I23" s="95">
        <v>737</v>
      </c>
      <c r="N23" s="95" t="s">
        <v>2568</v>
      </c>
      <c r="O23" s="127" t="s">
        <v>3194</v>
      </c>
      <c r="Q23" s="135" t="s">
        <v>3221</v>
      </c>
      <c r="R23" s="95" t="s">
        <v>3222</v>
      </c>
    </row>
    <row r="24" spans="1:18" s="125" customFormat="1">
      <c r="A24" s="130" t="s">
        <v>3169</v>
      </c>
      <c r="B24" s="125" t="s">
        <v>3223</v>
      </c>
      <c r="C24" s="125">
        <v>140</v>
      </c>
      <c r="D24" s="125" t="s">
        <v>3202</v>
      </c>
      <c r="E24" s="125" t="s">
        <v>2654</v>
      </c>
      <c r="F24" s="125" t="s">
        <v>3425</v>
      </c>
      <c r="K24" s="125">
        <v>6757</v>
      </c>
      <c r="N24" s="125" t="s">
        <v>2568</v>
      </c>
      <c r="O24" s="125" t="s">
        <v>3194</v>
      </c>
      <c r="Q24" s="132" t="s">
        <v>3221</v>
      </c>
      <c r="R24" s="125" t="s">
        <v>3224</v>
      </c>
    </row>
    <row r="25" spans="1:18">
      <c r="A25" s="99" t="s">
        <v>3430</v>
      </c>
      <c r="B25" s="125" t="s">
        <v>3217</v>
      </c>
      <c r="C25" s="125">
        <v>130</v>
      </c>
      <c r="D25" s="125" t="s">
        <v>3202</v>
      </c>
      <c r="E25" s="125" t="s">
        <v>3200</v>
      </c>
      <c r="F25" s="125" t="s">
        <v>3425</v>
      </c>
      <c r="G25" s="125">
        <v>28</v>
      </c>
      <c r="H25" s="125"/>
      <c r="I25" s="125">
        <v>3246</v>
      </c>
      <c r="J25" s="125"/>
      <c r="K25" s="125"/>
      <c r="L25" s="125"/>
      <c r="M25" s="125"/>
      <c r="N25" s="125" t="s">
        <v>2568</v>
      </c>
      <c r="O25" s="127" t="s">
        <v>3219</v>
      </c>
      <c r="P25" s="125"/>
      <c r="Q25" s="125"/>
      <c r="R25" s="125" t="s">
        <v>3220</v>
      </c>
    </row>
    <row r="26" spans="1:18">
      <c r="A26" s="127" t="s">
        <v>3216</v>
      </c>
      <c r="B26" s="127" t="s">
        <v>3217</v>
      </c>
      <c r="C26" s="127">
        <v>112</v>
      </c>
      <c r="D26" s="127" t="s">
        <v>3202</v>
      </c>
      <c r="E26" s="127" t="s">
        <v>2654</v>
      </c>
      <c r="F26" s="127" t="s">
        <v>3425</v>
      </c>
      <c r="G26" s="127"/>
      <c r="H26" s="127"/>
      <c r="I26" s="127">
        <v>15000</v>
      </c>
      <c r="J26" s="127"/>
      <c r="K26" s="127"/>
      <c r="L26" s="127"/>
      <c r="M26" s="127"/>
      <c r="N26" s="127" t="s">
        <v>2568</v>
      </c>
      <c r="O26" s="127" t="s">
        <v>3194</v>
      </c>
      <c r="P26" s="127"/>
      <c r="Q26" s="126" t="s">
        <v>3158</v>
      </c>
      <c r="R26" s="127" t="s">
        <v>3218</v>
      </c>
    </row>
    <row r="27" spans="1:18" s="125" customFormat="1">
      <c r="A27" s="131" t="s">
        <v>3160</v>
      </c>
      <c r="C27" s="125">
        <v>112</v>
      </c>
      <c r="D27" s="125" t="s">
        <v>3199</v>
      </c>
      <c r="E27" s="125" t="s">
        <v>3200</v>
      </c>
      <c r="F27" s="125" t="s">
        <v>3193</v>
      </c>
      <c r="I27" s="125">
        <v>1561</v>
      </c>
      <c r="N27" s="125" t="s">
        <v>2568</v>
      </c>
      <c r="O27" s="125" t="s">
        <v>3194</v>
      </c>
      <c r="Q27" s="132" t="s">
        <v>3161</v>
      </c>
    </row>
    <row r="28" spans="1:18">
      <c r="A28" s="96" t="s">
        <v>3154</v>
      </c>
      <c r="B28" s="95" t="s">
        <v>3213</v>
      </c>
      <c r="C28" s="95">
        <v>93</v>
      </c>
      <c r="D28" s="95" t="s">
        <v>3202</v>
      </c>
      <c r="E28" s="95" t="s">
        <v>3200</v>
      </c>
      <c r="F28" s="95" t="s">
        <v>3425</v>
      </c>
      <c r="I28" s="95">
        <v>33</v>
      </c>
      <c r="N28" s="95" t="s">
        <v>2568</v>
      </c>
      <c r="O28" s="95" t="s">
        <v>3194</v>
      </c>
      <c r="Q28" s="135"/>
    </row>
    <row r="29" spans="1:18" s="125" customFormat="1">
      <c r="A29" s="131" t="s">
        <v>3153</v>
      </c>
      <c r="B29" s="125" t="s">
        <v>3212</v>
      </c>
      <c r="C29" s="125">
        <v>93</v>
      </c>
      <c r="D29" s="125" t="s">
        <v>3202</v>
      </c>
      <c r="E29" s="125" t="s">
        <v>2654</v>
      </c>
      <c r="F29" s="125" t="s">
        <v>3425</v>
      </c>
      <c r="I29" s="125">
        <v>21</v>
      </c>
      <c r="N29" s="125" t="s">
        <v>2568</v>
      </c>
      <c r="O29" s="125" t="s">
        <v>3194</v>
      </c>
      <c r="Q29" s="132"/>
    </row>
    <row r="30" spans="1:18">
      <c r="A30" s="95" t="s">
        <v>3155</v>
      </c>
      <c r="B30" s="95" t="s">
        <v>3214</v>
      </c>
      <c r="C30" s="95">
        <v>93</v>
      </c>
      <c r="D30" s="95" t="s">
        <v>3199</v>
      </c>
      <c r="E30" s="95" t="s">
        <v>3200</v>
      </c>
      <c r="F30" s="95" t="s">
        <v>3193</v>
      </c>
      <c r="I30" s="95">
        <v>109</v>
      </c>
      <c r="N30" s="95" t="s">
        <v>2568</v>
      </c>
      <c r="O30" s="127" t="s">
        <v>3194</v>
      </c>
      <c r="Q30" s="135"/>
    </row>
    <row r="31" spans="1:18" s="125" customFormat="1">
      <c r="A31" s="131" t="s">
        <v>3156</v>
      </c>
      <c r="B31" s="125" t="s">
        <v>3215</v>
      </c>
      <c r="C31" s="125">
        <v>93</v>
      </c>
      <c r="D31" s="125" t="s">
        <v>3199</v>
      </c>
      <c r="E31" s="125" t="s">
        <v>3200</v>
      </c>
      <c r="F31" s="125" t="s">
        <v>3193</v>
      </c>
      <c r="I31" s="125">
        <v>64</v>
      </c>
      <c r="N31" s="125" t="s">
        <v>2568</v>
      </c>
      <c r="O31" s="127" t="s">
        <v>3194</v>
      </c>
      <c r="Q31" s="132"/>
    </row>
    <row r="32" spans="1:18">
      <c r="A32" s="99" t="s">
        <v>3428</v>
      </c>
      <c r="B32" s="125"/>
      <c r="C32" s="125">
        <v>74</v>
      </c>
      <c r="D32" s="125" t="s">
        <v>3202</v>
      </c>
      <c r="E32" s="125" t="s">
        <v>3200</v>
      </c>
      <c r="F32" s="125" t="s">
        <v>3425</v>
      </c>
      <c r="G32" s="125"/>
      <c r="H32" s="125"/>
      <c r="I32" s="125">
        <v>36</v>
      </c>
      <c r="J32" s="125"/>
      <c r="K32" s="125"/>
      <c r="L32" s="125"/>
      <c r="M32" s="125"/>
      <c r="N32" s="125" t="s">
        <v>2568</v>
      </c>
      <c r="O32" s="127" t="s">
        <v>3194</v>
      </c>
      <c r="P32" s="125"/>
      <c r="Q32" s="125"/>
      <c r="R32" s="125"/>
    </row>
    <row r="33" spans="1:18">
      <c r="A33" s="99" t="s">
        <v>3210</v>
      </c>
      <c r="B33" s="125" t="s">
        <v>3152</v>
      </c>
      <c r="C33" s="125">
        <v>64</v>
      </c>
      <c r="D33" s="125" t="s">
        <v>3199</v>
      </c>
      <c r="E33" s="125" t="s">
        <v>3200</v>
      </c>
      <c r="F33" s="125" t="s">
        <v>3193</v>
      </c>
      <c r="G33" s="125"/>
      <c r="H33" s="125"/>
      <c r="I33" s="125">
        <v>13000</v>
      </c>
      <c r="J33" s="125"/>
      <c r="K33" s="125"/>
      <c r="L33" s="125"/>
      <c r="M33" s="125"/>
      <c r="N33" s="125" t="s">
        <v>2648</v>
      </c>
      <c r="O33" s="127" t="s">
        <v>2768</v>
      </c>
      <c r="P33" s="125"/>
      <c r="Q33" s="125"/>
      <c r="R33" s="125" t="s">
        <v>3211</v>
      </c>
    </row>
    <row r="34" spans="1:18">
      <c r="A34" s="125" t="s">
        <v>3207</v>
      </c>
      <c r="B34" s="125" t="s">
        <v>3208</v>
      </c>
      <c r="C34" s="125">
        <v>53</v>
      </c>
      <c r="D34" s="125" t="s">
        <v>3199</v>
      </c>
      <c r="E34" s="125" t="s">
        <v>3200</v>
      </c>
      <c r="F34" s="125" t="s">
        <v>3193</v>
      </c>
      <c r="G34" s="125"/>
      <c r="H34" s="125"/>
      <c r="I34" s="125">
        <v>117</v>
      </c>
      <c r="J34" s="125"/>
      <c r="K34" s="125"/>
      <c r="L34" s="125"/>
      <c r="M34" s="125"/>
      <c r="N34" s="125" t="s">
        <v>2648</v>
      </c>
      <c r="O34" s="125" t="s">
        <v>2768</v>
      </c>
      <c r="P34" s="125"/>
      <c r="Q34" s="132"/>
      <c r="R34" s="125" t="s">
        <v>3209</v>
      </c>
    </row>
    <row r="35" spans="1:18">
      <c r="A35" s="99" t="s">
        <v>3147</v>
      </c>
      <c r="B35" s="125"/>
      <c r="C35" s="125">
        <v>36</v>
      </c>
      <c r="D35" s="125" t="s">
        <v>3202</v>
      </c>
      <c r="E35" s="125" t="s">
        <v>2654</v>
      </c>
      <c r="F35" s="125" t="s">
        <v>3425</v>
      </c>
      <c r="G35" s="125"/>
      <c r="H35" s="125"/>
      <c r="I35" s="125"/>
      <c r="J35" s="125"/>
      <c r="K35" s="125"/>
      <c r="L35" s="125"/>
      <c r="M35" s="125"/>
      <c r="N35" s="125" t="s">
        <v>2648</v>
      </c>
      <c r="O35" s="127" t="s">
        <v>2768</v>
      </c>
      <c r="P35" s="125"/>
      <c r="Q35" s="132"/>
      <c r="R35" s="125" t="s">
        <v>3206</v>
      </c>
    </row>
    <row r="36" spans="1:18">
      <c r="A36" s="126" t="s">
        <v>3149</v>
      </c>
      <c r="B36" s="127"/>
      <c r="C36" s="127">
        <v>36</v>
      </c>
      <c r="D36" s="127" t="s">
        <v>3202</v>
      </c>
      <c r="E36" s="127" t="s">
        <v>2654</v>
      </c>
      <c r="F36" s="127" t="s">
        <v>3425</v>
      </c>
      <c r="G36" s="127"/>
      <c r="H36" s="127"/>
      <c r="I36" s="127"/>
      <c r="J36" s="127"/>
      <c r="K36" s="127"/>
      <c r="L36" s="127"/>
      <c r="M36" s="127"/>
      <c r="N36" s="127" t="s">
        <v>2648</v>
      </c>
      <c r="O36" s="127" t="s">
        <v>2768</v>
      </c>
      <c r="P36" s="127"/>
      <c r="Q36" s="134"/>
      <c r="R36" s="127" t="s">
        <v>3206</v>
      </c>
    </row>
    <row r="37" spans="1:18">
      <c r="A37"/>
    </row>
  </sheetData>
  <autoFilter ref="A1:U76" xr:uid="{BDD2E49F-C0AB-F64D-B619-7D0E3BF4DC14}">
    <sortState xmlns:xlrd2="http://schemas.microsoft.com/office/spreadsheetml/2017/richdata2" ref="A2:U38">
      <sortCondition descending="1" ref="C1:C76"/>
    </sortState>
  </autoFilter>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971c2dd-4979-4752-97a1-eb062e2c22bf" xsi:nil="true"/>
    <lcf76f155ced4ddcb4097134ff3c332f xmlns="ed526690-1b82-4476-9598-c0eeafad58f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1383FD7952F44C4AA66F138C1496F932" ma:contentTypeVersion="13" ma:contentTypeDescription="Ein neues Dokument erstellen." ma:contentTypeScope="" ma:versionID="0cc33d999d567d81d203410658c38121">
  <xsd:schema xmlns:xsd="http://www.w3.org/2001/XMLSchema" xmlns:xs="http://www.w3.org/2001/XMLSchema" xmlns:p="http://schemas.microsoft.com/office/2006/metadata/properties" xmlns:ns2="ed526690-1b82-4476-9598-c0eeafad58f9" xmlns:ns3="f971c2dd-4979-4752-97a1-eb062e2c22bf" targetNamespace="http://schemas.microsoft.com/office/2006/metadata/properties" ma:root="true" ma:fieldsID="38b03b97d69d80f4e7ebb7861df9ff0d" ns2:_="" ns3:_="">
    <xsd:import namespace="ed526690-1b82-4476-9598-c0eeafad58f9"/>
    <xsd:import namespace="f971c2dd-4979-4752-97a1-eb062e2c22b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526690-1b82-4476-9598-c0eeafad58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ildmarkierungen" ma:readOnly="false" ma:fieldId="{5cf76f15-5ced-4ddc-b409-7134ff3c332f}" ma:taxonomyMulti="true" ma:sspId="6eb20c4f-c5c2-492b-9954-d638c64bfe97"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971c2dd-4979-4752-97a1-eb062e2c22b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7e2bed4-e774-44b0-ae5b-36fa559b01d6}" ma:internalName="TaxCatchAll" ma:showField="CatchAllData" ma:web="f971c2dd-4979-4752-97a1-eb062e2c22b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0234724B-F7B2-4B46-B359-C35F595B0D09}">
  <ds:schemaRefs>
    <ds:schemaRef ds:uri="http://schemas.microsoft.com/office/2006/metadata/properties"/>
    <ds:schemaRef ds:uri="http://schemas.microsoft.com/office/infopath/2007/PartnerControls"/>
    <ds:schemaRef ds:uri="f971c2dd-4979-4752-97a1-eb062e2c22bf"/>
    <ds:schemaRef ds:uri="ed526690-1b82-4476-9598-c0eeafad58f9"/>
  </ds:schemaRefs>
</ds:datastoreItem>
</file>

<file path=customXml/itemProps2.xml><?xml version="1.0" encoding="utf-8"?>
<ds:datastoreItem xmlns:ds="http://schemas.openxmlformats.org/officeDocument/2006/customXml" ds:itemID="{6CD96103-4854-4C8F-848A-9C30563DC7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526690-1b82-4476-9598-c0eeafad58f9"/>
    <ds:schemaRef ds:uri="f971c2dd-4979-4752-97a1-eb062e2c22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81C1AD0-5FC4-4D2A-939B-F6C94D298E91}">
  <ds:schemaRefs>
    <ds:schemaRef ds:uri="http://schemas.microsoft.com/sharepoint/v3/contenttype/forms"/>
  </ds:schemaRefs>
</ds:datastoreItem>
</file>

<file path=customXml/itemProps4.xml><?xml version="1.0" encoding="utf-8"?>
<ds:datastoreItem xmlns:ds="http://schemas.openxmlformats.org/officeDocument/2006/customXml" ds:itemID="{4D52BC34-7941-4C57-B76F-31F96C83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README</vt:lpstr>
      <vt:lpstr>--&gt; Screening Log</vt:lpstr>
      <vt:lpstr>Title-Abstract-Review</vt:lpstr>
      <vt:lpstr>Snowballing</vt:lpstr>
      <vt:lpstr>Final Set</vt:lpstr>
      <vt:lpstr>--&gt; Demographic Analysis</vt:lpstr>
      <vt:lpstr>Quality Assessment</vt:lpstr>
      <vt:lpstr>Demographics</vt:lpstr>
      <vt:lpstr>--&gt; Data Extraction</vt:lpstr>
      <vt:lpstr>Raw Data</vt:lpstr>
      <vt:lpstr>--&gt; RQ1</vt:lpstr>
      <vt:lpstr>AI-Method</vt:lpstr>
      <vt:lpstr>Eval-Method</vt:lpstr>
      <vt:lpstr>--&gt; RQ2</vt:lpstr>
      <vt:lpstr>Quality Apects</vt:lpstr>
      <vt:lpstr>Quality Aspects Summary</vt:lpstr>
      <vt:lpstr>References</vt:lpstr>
      <vt:lpstr>Purpose</vt:lpstr>
      <vt:lpstr>Phase</vt:lpstr>
      <vt:lpstr>Metrics</vt:lpstr>
      <vt:lpstr>--&gt; RQ3</vt:lpstr>
      <vt:lpstr>Data</vt:lpstr>
      <vt:lpstr>Data Description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Wolf, Elise</dc:creator>
  <cp:keywords/>
  <dc:description/>
  <cp:lastModifiedBy>Trendowicz, Adam</cp:lastModifiedBy>
  <cp:revision/>
  <dcterms:created xsi:type="dcterms:W3CDTF">2024-05-30T18:31:48Z</dcterms:created>
  <dcterms:modified xsi:type="dcterms:W3CDTF">2025-08-22T12:48:05Z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0x0101001383FD7952F44C4AA66F138C1496F932</vt:lpwstr>
  </property>
  <property fmtid="{D5CDD505-2E9C-101B-9397-08002B2CF9AE}" pid="3" name="MediaServiceImageTags">
    <vt:lpwstr/>
  </property>
</Properties>
</file>